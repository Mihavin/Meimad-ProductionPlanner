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J:\customers files\DPD\תוכנית עבודה\"/>
    </mc:Choice>
  </mc:AlternateContent>
  <xr:revisionPtr revIDLastSave="0" documentId="8_{3A02A3EC-4B14-4FE9-83AF-C7C338E4B0CB}" xr6:coauthVersionLast="47" xr6:coauthVersionMax="47" xr10:uidLastSave="{00000000-0000-0000-0000-000000000000}"/>
  <bookViews>
    <workbookView xWindow="-108" yWindow="-108" windowWidth="30936" windowHeight="16776" activeTab="1" xr2:uid="{9CEF5742-9351-40CA-9C44-79078E3A1B21}"/>
  </bookViews>
  <sheets>
    <sheet name="קוביות" sheetId="1" r:id="rId1"/>
    <sheet name="דוח מימד" sheetId="2" r:id="rId2"/>
    <sheet name="הזמנות פתוחות" sheetId="4" r:id="rId3"/>
    <sheet name="גרף" sheetId="3" r:id="rId4"/>
  </sheets>
  <externalReferences>
    <externalReference r:id="rId5"/>
    <externalReference r:id="rId6"/>
  </externalReferences>
  <definedNames>
    <definedName name="_xlnm._FilterDatabase" localSheetId="1" hidden="1">'דוח מימד'!$A$6:$AK$6</definedName>
    <definedName name="_xlnm._FilterDatabase" localSheetId="0" hidden="1">קוביות!$A$2:$BB$243</definedName>
    <definedName name="_xlnm.Print_Area" localSheetId="1">'דוח מימד'!$A$57:$O$74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0" i="2" l="1"/>
  <c r="K232" i="2"/>
  <c r="O242" i="2"/>
  <c r="K93" i="2"/>
  <c r="O93" i="2" s="1"/>
  <c r="K74" i="2" l="1"/>
  <c r="J103" i="2" l="1"/>
  <c r="J102" i="2"/>
  <c r="P108" i="2" l="1"/>
  <c r="P97" i="2"/>
  <c r="P15" i="2"/>
  <c r="P98" i="2"/>
  <c r="P99" i="2"/>
  <c r="P100" i="2"/>
  <c r="P102" i="2"/>
  <c r="P103" i="2"/>
  <c r="P104" i="2"/>
  <c r="P28" i="2"/>
  <c r="P113" i="2"/>
  <c r="P115" i="2"/>
  <c r="P25" i="2"/>
  <c r="P117" i="2"/>
  <c r="P118" i="2"/>
  <c r="P119" i="2"/>
  <c r="P124" i="2"/>
  <c r="P126" i="2"/>
  <c r="P29" i="2"/>
  <c r="P129" i="2"/>
  <c r="P31" i="2"/>
  <c r="P130" i="2"/>
  <c r="P131" i="2"/>
  <c r="P132" i="2"/>
  <c r="P133" i="2"/>
  <c r="P135" i="2"/>
  <c r="P136" i="2"/>
  <c r="P137" i="2"/>
  <c r="P138" i="2"/>
  <c r="P139" i="2"/>
  <c r="P140" i="2"/>
  <c r="P141" i="2"/>
  <c r="P30" i="2"/>
  <c r="P143" i="2"/>
  <c r="P144" i="2"/>
  <c r="P145" i="2"/>
  <c r="P146" i="2"/>
  <c r="P147" i="2"/>
  <c r="P148" i="2"/>
  <c r="P149" i="2"/>
  <c r="P150" i="2"/>
  <c r="P32" i="2"/>
  <c r="P151" i="2"/>
  <c r="P153" i="2"/>
  <c r="P33" i="2"/>
  <c r="P154" i="2"/>
  <c r="P155" i="2"/>
  <c r="P34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35" i="2"/>
  <c r="P177" i="2"/>
  <c r="P36" i="2"/>
  <c r="P180" i="2"/>
  <c r="P181" i="2"/>
  <c r="P182" i="2"/>
  <c r="P183" i="2"/>
  <c r="P184" i="2"/>
  <c r="P186" i="2"/>
  <c r="P37" i="2"/>
  <c r="P38" i="2"/>
  <c r="P188" i="2"/>
  <c r="P189" i="2"/>
  <c r="P190" i="2"/>
  <c r="P40" i="2"/>
  <c r="P41" i="2"/>
  <c r="P42" i="2"/>
  <c r="P191" i="2"/>
  <c r="P43" i="2"/>
  <c r="P44" i="2"/>
  <c r="P193" i="2"/>
  <c r="P194" i="2"/>
  <c r="P195" i="2"/>
  <c r="P196" i="2"/>
  <c r="P45" i="2"/>
  <c r="P197" i="2"/>
  <c r="P198" i="2"/>
  <c r="P199" i="2"/>
  <c r="P200" i="2"/>
  <c r="P201" i="2"/>
  <c r="P202" i="2"/>
  <c r="P204" i="2"/>
  <c r="P205" i="2"/>
  <c r="P17" i="2"/>
  <c r="P206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46" i="2"/>
  <c r="P47" i="2"/>
  <c r="P48" i="2"/>
  <c r="P49" i="2"/>
  <c r="P12" i="2"/>
  <c r="P226" i="2"/>
  <c r="P227" i="2"/>
  <c r="P228" i="2"/>
  <c r="P229" i="2"/>
  <c r="P231" i="2"/>
  <c r="P232" i="2"/>
  <c r="P233" i="2"/>
  <c r="P235" i="2"/>
  <c r="P50" i="2"/>
  <c r="P236" i="2"/>
  <c r="P237" i="2"/>
  <c r="P238" i="2"/>
  <c r="P239" i="2"/>
  <c r="P240" i="2"/>
  <c r="P51" i="2"/>
  <c r="P241" i="2"/>
  <c r="P242" i="2"/>
  <c r="P243" i="2"/>
  <c r="P244" i="2"/>
  <c r="P245" i="2"/>
  <c r="P246" i="2"/>
  <c r="P54" i="2"/>
  <c r="P249" i="2"/>
  <c r="P250" i="2"/>
  <c r="P251" i="2"/>
  <c r="P252" i="2"/>
  <c r="P255" i="2"/>
  <c r="P256" i="2"/>
  <c r="P11" i="2"/>
  <c r="P257" i="2"/>
  <c r="P258" i="2"/>
  <c r="P259" i="2"/>
  <c r="P22" i="2"/>
  <c r="P260" i="2"/>
  <c r="P23" i="2"/>
  <c r="P265" i="2"/>
  <c r="P266" i="2"/>
  <c r="P267" i="2"/>
  <c r="P268" i="2"/>
  <c r="P269" i="2"/>
  <c r="P21" i="2"/>
  <c r="P270" i="2"/>
  <c r="P279" i="2"/>
  <c r="P280" i="2"/>
  <c r="P281" i="2"/>
  <c r="P282" i="2"/>
  <c r="P283" i="2"/>
  <c r="P284" i="2"/>
  <c r="P285" i="2"/>
  <c r="P286" i="2"/>
  <c r="P287" i="2"/>
  <c r="P289" i="2"/>
  <c r="P290" i="2"/>
  <c r="P291" i="2"/>
  <c r="P292" i="2"/>
  <c r="P293" i="2"/>
  <c r="P294" i="2"/>
  <c r="P58" i="2"/>
  <c r="P61" i="2"/>
  <c r="P62" i="2"/>
  <c r="P63" i="2"/>
  <c r="P64" i="2"/>
  <c r="P10" i="2"/>
  <c r="P65" i="2"/>
  <c r="P67" i="2"/>
  <c r="P68" i="2"/>
  <c r="P69" i="2"/>
  <c r="P71" i="2"/>
  <c r="P72" i="2"/>
  <c r="P75" i="2"/>
  <c r="P73" i="2"/>
  <c r="P80" i="2"/>
  <c r="P81" i="2"/>
  <c r="P82" i="2"/>
  <c r="P83" i="2"/>
  <c r="P18" i="2"/>
  <c r="P84" i="2"/>
  <c r="P85" i="2"/>
  <c r="P87" i="2"/>
  <c r="P24" i="2"/>
  <c r="P90" i="2"/>
  <c r="P91" i="2"/>
  <c r="P92" i="2"/>
  <c r="P19" i="2"/>
  <c r="P93" i="2"/>
  <c r="P94" i="2"/>
  <c r="P95" i="2"/>
  <c r="P96" i="2"/>
  <c r="P57" i="2"/>
  <c r="J67" i="2"/>
  <c r="K49" i="2" l="1"/>
  <c r="K31" i="2"/>
  <c r="J250" i="2"/>
  <c r="J249" i="2"/>
  <c r="J192" i="2"/>
  <c r="J187" i="2"/>
  <c r="K187" i="2" s="1"/>
  <c r="O187" i="2" s="1"/>
  <c r="J131" i="2"/>
  <c r="J95" i="2"/>
  <c r="K95" i="2" s="1"/>
  <c r="J94" i="2"/>
  <c r="K83" i="2"/>
  <c r="K78" i="2"/>
  <c r="K72" i="2"/>
  <c r="J70" i="2"/>
  <c r="R81" i="2"/>
  <c r="R80" i="2"/>
  <c r="R79" i="2"/>
  <c r="R78" i="2"/>
  <c r="R77" i="2"/>
  <c r="R73" i="2"/>
  <c r="R76" i="2"/>
  <c r="R75" i="2"/>
  <c r="R69" i="2"/>
  <c r="R66" i="2"/>
  <c r="R65" i="2"/>
  <c r="R63" i="2"/>
  <c r="R61" i="2"/>
  <c r="R57" i="2"/>
  <c r="R59" i="2"/>
  <c r="O76" i="2"/>
  <c r="O66" i="2"/>
  <c r="O65" i="2"/>
  <c r="O63" i="2"/>
  <c r="O61" i="2"/>
  <c r="O57" i="2"/>
  <c r="J127" i="2"/>
  <c r="J189" i="2"/>
  <c r="J115" i="2"/>
  <c r="J101" i="2"/>
  <c r="J277" i="2"/>
  <c r="J275" i="2"/>
  <c r="J248" i="2"/>
  <c r="J230" i="2"/>
  <c r="I39" i="2"/>
  <c r="J39" i="2" s="1"/>
  <c r="J178" i="2"/>
  <c r="K178" i="2" s="1"/>
  <c r="J152" i="2"/>
  <c r="J134" i="2"/>
  <c r="J106" i="2"/>
  <c r="J105" i="2"/>
  <c r="J90" i="2"/>
  <c r="I26" i="2"/>
  <c r="J26" i="2" s="1"/>
  <c r="J110" i="2"/>
  <c r="J98" i="2"/>
  <c r="J87" i="2"/>
  <c r="J73" i="2"/>
  <c r="J76" i="2"/>
  <c r="J145" i="2" l="1"/>
  <c r="J212" i="2"/>
  <c r="J200" i="2"/>
  <c r="J234" i="2"/>
  <c r="J120" i="2"/>
  <c r="J142" i="2"/>
  <c r="J143" i="2"/>
  <c r="J225" i="2"/>
  <c r="J122" i="2"/>
  <c r="J238" i="2"/>
  <c r="J190" i="2"/>
  <c r="J240" i="2"/>
  <c r="J196" i="2"/>
  <c r="K196" i="2" s="1"/>
  <c r="J128" i="2"/>
  <c r="J170" i="2"/>
  <c r="J137" i="2"/>
  <c r="J195" i="2"/>
  <c r="J139" i="2"/>
  <c r="J117" i="2"/>
  <c r="J133" i="2"/>
  <c r="J223" i="2"/>
  <c r="J121" i="2"/>
  <c r="J185" i="2"/>
  <c r="J236" i="2"/>
  <c r="J126" i="2"/>
  <c r="I124" i="2" l="1"/>
  <c r="J124" i="2" s="1"/>
  <c r="O71" i="2" l="1"/>
  <c r="O80" i="2" l="1"/>
  <c r="I281" i="2" l="1"/>
  <c r="J281" i="2" s="1"/>
  <c r="O77" i="2" l="1"/>
  <c r="O79" i="2" l="1"/>
  <c r="I177" i="2" l="1"/>
  <c r="J177" i="2" s="1"/>
  <c r="O81" i="2" l="1"/>
  <c r="C271" i="2" l="1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70" i="2"/>
  <c r="C56" i="2"/>
  <c r="C237" i="2"/>
  <c r="C238" i="2"/>
  <c r="C239" i="2"/>
  <c r="C240" i="2"/>
  <c r="C51" i="2"/>
  <c r="C241" i="2"/>
  <c r="C242" i="2"/>
  <c r="C243" i="2"/>
  <c r="C244" i="2"/>
  <c r="C245" i="2"/>
  <c r="C246" i="2"/>
  <c r="C247" i="2"/>
  <c r="C52" i="2"/>
  <c r="C53" i="2"/>
  <c r="C54" i="2"/>
  <c r="C248" i="2"/>
  <c r="C249" i="2"/>
  <c r="C250" i="2"/>
  <c r="C251" i="2"/>
  <c r="C252" i="2"/>
  <c r="C55" i="2"/>
  <c r="C253" i="2"/>
  <c r="C254" i="2"/>
  <c r="C255" i="2"/>
  <c r="C236" i="2"/>
  <c r="C214" i="2"/>
  <c r="C215" i="2"/>
  <c r="C216" i="2"/>
  <c r="C217" i="2"/>
  <c r="C218" i="2"/>
  <c r="C49" i="2"/>
  <c r="C219" i="2"/>
  <c r="C220" i="2"/>
  <c r="C221" i="2"/>
  <c r="C222" i="2"/>
  <c r="C223" i="2"/>
  <c r="C224" i="2"/>
  <c r="C225" i="2"/>
  <c r="C226" i="2"/>
  <c r="C12" i="2"/>
  <c r="C227" i="2"/>
  <c r="C228" i="2"/>
  <c r="C229" i="2"/>
  <c r="C230" i="2"/>
  <c r="C231" i="2"/>
  <c r="C232" i="2"/>
  <c r="C233" i="2"/>
  <c r="C234" i="2"/>
  <c r="C235" i="2"/>
  <c r="C50" i="2"/>
  <c r="C213" i="2"/>
  <c r="C198" i="2"/>
  <c r="C199" i="2"/>
  <c r="C200" i="2"/>
  <c r="C201" i="2"/>
  <c r="C202" i="2"/>
  <c r="C203" i="2"/>
  <c r="C204" i="2"/>
  <c r="C205" i="2"/>
  <c r="C17" i="2"/>
  <c r="C206" i="2"/>
  <c r="C207" i="2"/>
  <c r="C208" i="2"/>
  <c r="C209" i="2"/>
  <c r="C210" i="2"/>
  <c r="C211" i="2"/>
  <c r="C212" i="2"/>
  <c r="C46" i="2"/>
  <c r="C47" i="2"/>
  <c r="C48" i="2"/>
  <c r="C187" i="2"/>
  <c r="C188" i="2"/>
  <c r="C189" i="2"/>
  <c r="C190" i="2"/>
  <c r="C40" i="2"/>
  <c r="C41" i="2"/>
  <c r="C42" i="2"/>
  <c r="C191" i="2"/>
  <c r="C192" i="2"/>
  <c r="C43" i="2"/>
  <c r="C44" i="2"/>
  <c r="C193" i="2"/>
  <c r="C194" i="2"/>
  <c r="C195" i="2"/>
  <c r="C196" i="2"/>
  <c r="C45" i="2"/>
  <c r="C197" i="2"/>
  <c r="C166" i="2"/>
  <c r="C167" i="2"/>
  <c r="C168" i="2"/>
  <c r="C169" i="2"/>
  <c r="C170" i="2"/>
  <c r="C171" i="2"/>
  <c r="C172" i="2"/>
  <c r="C173" i="2"/>
  <c r="C174" i="2"/>
  <c r="C175" i="2"/>
  <c r="C176" i="2"/>
  <c r="C35" i="2"/>
  <c r="C177" i="2"/>
  <c r="C178" i="2"/>
  <c r="C179" i="2"/>
  <c r="C36" i="2"/>
  <c r="C180" i="2"/>
  <c r="C181" i="2"/>
  <c r="C182" i="2"/>
  <c r="C183" i="2"/>
  <c r="C184" i="2"/>
  <c r="C185" i="2"/>
  <c r="C186" i="2"/>
  <c r="C37" i="2"/>
  <c r="C38" i="2"/>
  <c r="C39" i="2"/>
  <c r="C155" i="2"/>
  <c r="C34" i="2"/>
  <c r="C156" i="2"/>
  <c r="C157" i="2"/>
  <c r="C158" i="2"/>
  <c r="C159" i="2"/>
  <c r="C160" i="2"/>
  <c r="C161" i="2"/>
  <c r="C162" i="2"/>
  <c r="C163" i="2"/>
  <c r="C164" i="2"/>
  <c r="C165" i="2"/>
  <c r="C154" i="2"/>
  <c r="C147" i="2"/>
  <c r="C148" i="2"/>
  <c r="C149" i="2"/>
  <c r="C150" i="2"/>
  <c r="C8" i="2"/>
  <c r="C32" i="2"/>
  <c r="C152" i="2"/>
  <c r="C153" i="2"/>
  <c r="C33" i="2"/>
  <c r="C30" i="2"/>
  <c r="C142" i="2"/>
  <c r="C143" i="2"/>
  <c r="C144" i="2"/>
  <c r="C145" i="2"/>
  <c r="C146" i="2"/>
  <c r="C131" i="2"/>
  <c r="C132" i="2"/>
  <c r="C133" i="2"/>
  <c r="C134" i="2"/>
  <c r="C135" i="2"/>
  <c r="C136" i="2"/>
  <c r="C137" i="2"/>
  <c r="C138" i="2"/>
  <c r="C139" i="2"/>
  <c r="C140" i="2"/>
  <c r="C141" i="2"/>
  <c r="C125" i="2"/>
  <c r="C126" i="2"/>
  <c r="C127" i="2"/>
  <c r="C128" i="2"/>
  <c r="C29" i="2"/>
  <c r="C129" i="2"/>
  <c r="C31" i="2"/>
  <c r="C130" i="2"/>
  <c r="C113" i="2"/>
  <c r="C114" i="2"/>
  <c r="C115" i="2"/>
  <c r="C25" i="2"/>
  <c r="C116" i="2"/>
  <c r="C117" i="2"/>
  <c r="C118" i="2"/>
  <c r="C119" i="2"/>
  <c r="C120" i="2"/>
  <c r="C121" i="2"/>
  <c r="C122" i="2"/>
  <c r="C123" i="2"/>
  <c r="C124" i="2"/>
  <c r="C112" i="2"/>
  <c r="C28" i="2"/>
  <c r="C106" i="2"/>
  <c r="C107" i="2"/>
  <c r="C108" i="2"/>
  <c r="C109" i="2"/>
  <c r="C110" i="2"/>
  <c r="C111" i="2"/>
  <c r="C89" i="2"/>
  <c r="C90" i="2"/>
  <c r="C91" i="2"/>
  <c r="C92" i="2"/>
  <c r="C19" i="2"/>
  <c r="C93" i="2"/>
  <c r="C94" i="2"/>
  <c r="C95" i="2"/>
  <c r="C96" i="2"/>
  <c r="C97" i="2"/>
  <c r="C15" i="2"/>
  <c r="C98" i="2"/>
  <c r="C99" i="2"/>
  <c r="C100" i="2"/>
  <c r="C101" i="2"/>
  <c r="C102" i="2"/>
  <c r="C103" i="2"/>
  <c r="C104" i="2"/>
  <c r="C27" i="2"/>
  <c r="C105" i="2"/>
  <c r="C63" i="2"/>
  <c r="C64" i="2"/>
  <c r="C10" i="2"/>
  <c r="C65" i="2"/>
  <c r="C66" i="2"/>
  <c r="C67" i="2"/>
  <c r="C69" i="2"/>
  <c r="C70" i="2"/>
  <c r="C71" i="2"/>
  <c r="C72" i="2"/>
  <c r="C74" i="2"/>
  <c r="C75" i="2"/>
  <c r="C76" i="2"/>
  <c r="C73" i="2"/>
  <c r="C77" i="2"/>
  <c r="C78" i="2"/>
  <c r="C79" i="2"/>
  <c r="C80" i="2"/>
  <c r="C81" i="2"/>
  <c r="C83" i="2"/>
  <c r="C18" i="2"/>
  <c r="C84" i="2"/>
  <c r="C85" i="2"/>
  <c r="C86" i="2"/>
  <c r="C87" i="2"/>
  <c r="C24" i="2"/>
  <c r="C88" i="2"/>
  <c r="C62" i="2"/>
  <c r="C61" i="2"/>
  <c r="C9" i="2"/>
  <c r="C57" i="2"/>
  <c r="C58" i="2"/>
  <c r="C20" i="2"/>
  <c r="C59" i="2"/>
  <c r="C26" i="2"/>
  <c r="C7" i="2"/>
  <c r="J294" i="2" l="1"/>
  <c r="G294" i="2"/>
  <c r="G287" i="2"/>
  <c r="G286" i="2"/>
  <c r="G285" i="2"/>
  <c r="K284" i="2"/>
  <c r="G284" i="2"/>
  <c r="G283" i="2"/>
  <c r="G282" i="2"/>
  <c r="K281" i="2"/>
  <c r="O281" i="2" s="1"/>
  <c r="G281" i="2"/>
  <c r="G280" i="2"/>
  <c r="G279" i="2"/>
  <c r="K277" i="2"/>
  <c r="O277" i="2" s="1"/>
  <c r="K275" i="2"/>
  <c r="G275" i="2"/>
  <c r="G272" i="2"/>
  <c r="K56" i="2"/>
  <c r="G56" i="2"/>
  <c r="K21" i="2"/>
  <c r="G21" i="2"/>
  <c r="G23" i="2"/>
  <c r="G260" i="2"/>
  <c r="G22" i="2"/>
  <c r="G259" i="2"/>
  <c r="G258" i="2"/>
  <c r="K257" i="2"/>
  <c r="O257" i="2" s="1"/>
  <c r="K11" i="2"/>
  <c r="G11" i="2"/>
  <c r="K256" i="2"/>
  <c r="O256" i="2" s="1"/>
  <c r="G256" i="2"/>
  <c r="K255" i="2"/>
  <c r="O255" i="2" s="1"/>
  <c r="K253" i="2"/>
  <c r="O253" i="2" s="1"/>
  <c r="K55" i="2"/>
  <c r="G55" i="2"/>
  <c r="G251" i="2"/>
  <c r="K250" i="2"/>
  <c r="O250" i="2" s="1"/>
  <c r="K249" i="2"/>
  <c r="O249" i="2" s="1"/>
  <c r="K248" i="2"/>
  <c r="O248" i="2" s="1"/>
  <c r="K52" i="2"/>
  <c r="G241" i="2"/>
  <c r="K51" i="2"/>
  <c r="G51" i="2"/>
  <c r="K240" i="2"/>
  <c r="O240" i="2" s="1"/>
  <c r="K238" i="2"/>
  <c r="O238" i="2" s="1"/>
  <c r="K236" i="2"/>
  <c r="O236" i="2" s="1"/>
  <c r="K50" i="2"/>
  <c r="G50" i="2"/>
  <c r="K235" i="2"/>
  <c r="O235" i="2" s="1"/>
  <c r="K234" i="2"/>
  <c r="O234" i="2" s="1"/>
  <c r="G232" i="2"/>
  <c r="K230" i="2"/>
  <c r="O230" i="2" s="1"/>
  <c r="G230" i="2"/>
  <c r="G229" i="2"/>
  <c r="G227" i="2"/>
  <c r="G12" i="2"/>
  <c r="K225" i="2"/>
  <c r="O225" i="2" s="1"/>
  <c r="G224" i="2"/>
  <c r="K223" i="2"/>
  <c r="O223" i="2" s="1"/>
  <c r="G216" i="2"/>
  <c r="G215" i="2"/>
  <c r="K214" i="2"/>
  <c r="O214" i="2" s="1"/>
  <c r="G214" i="2"/>
  <c r="K213" i="2"/>
  <c r="O213" i="2" s="1"/>
  <c r="G213" i="2"/>
  <c r="K48" i="2"/>
  <c r="G48" i="2"/>
  <c r="K47" i="2"/>
  <c r="G47" i="2"/>
  <c r="K46" i="2"/>
  <c r="G46" i="2"/>
  <c r="K212" i="2"/>
  <c r="O212" i="2" s="1"/>
  <c r="G212" i="2"/>
  <c r="G211" i="2"/>
  <c r="G210" i="2"/>
  <c r="G209" i="2"/>
  <c r="G208" i="2"/>
  <c r="G207" i="2"/>
  <c r="G206" i="2"/>
  <c r="G205" i="2"/>
  <c r="G204" i="2"/>
  <c r="G202" i="2"/>
  <c r="G201" i="2"/>
  <c r="K200" i="2"/>
  <c r="O200" i="2" s="1"/>
  <c r="G200" i="2"/>
  <c r="G199" i="2"/>
  <c r="G198" i="2"/>
  <c r="K45" i="2"/>
  <c r="G45" i="2"/>
  <c r="O196" i="2"/>
  <c r="G196" i="2"/>
  <c r="K195" i="2"/>
  <c r="O195" i="2" s="1"/>
  <c r="G195" i="2"/>
  <c r="G194" i="2"/>
  <c r="G193" i="2"/>
  <c r="G43" i="2"/>
  <c r="K192" i="2"/>
  <c r="O192" i="2" s="1"/>
  <c r="G192" i="2"/>
  <c r="K42" i="2"/>
  <c r="G42" i="2"/>
  <c r="K41" i="2"/>
  <c r="G41" i="2"/>
  <c r="K190" i="2"/>
  <c r="O190" i="2" s="1"/>
  <c r="G190" i="2"/>
  <c r="K189" i="2"/>
  <c r="O189" i="2" s="1"/>
  <c r="G189" i="2"/>
  <c r="G188" i="2"/>
  <c r="K39" i="2"/>
  <c r="G38" i="2"/>
  <c r="K37" i="2"/>
  <c r="G37" i="2"/>
  <c r="K185" i="2"/>
  <c r="O185" i="2" s="1"/>
  <c r="G185" i="2"/>
  <c r="G184" i="2"/>
  <c r="G183" i="2"/>
  <c r="G182" i="2"/>
  <c r="G181" i="2"/>
  <c r="G180" i="2"/>
  <c r="K36" i="2"/>
  <c r="G36" i="2"/>
  <c r="O178" i="2"/>
  <c r="K177" i="2"/>
  <c r="O177" i="2" s="1"/>
  <c r="G177" i="2"/>
  <c r="K35" i="2"/>
  <c r="G35" i="2"/>
  <c r="K170" i="2"/>
  <c r="O170" i="2" s="1"/>
  <c r="G170" i="2"/>
  <c r="G169" i="2"/>
  <c r="G168" i="2"/>
  <c r="G167" i="2"/>
  <c r="G166" i="2"/>
  <c r="G165" i="2"/>
  <c r="G164" i="2"/>
  <c r="G163" i="2"/>
  <c r="G162" i="2"/>
  <c r="G161" i="2"/>
  <c r="G160" i="2"/>
  <c r="O159" i="2"/>
  <c r="G159" i="2"/>
  <c r="G158" i="2"/>
  <c r="G157" i="2"/>
  <c r="G156" i="2"/>
  <c r="G155" i="2"/>
  <c r="G154" i="2"/>
  <c r="K33" i="2"/>
  <c r="G33" i="2"/>
  <c r="K152" i="2"/>
  <c r="O152" i="2" s="1"/>
  <c r="G152" i="2"/>
  <c r="G151" i="2"/>
  <c r="K32" i="2"/>
  <c r="G32" i="2"/>
  <c r="K8" i="2"/>
  <c r="G8" i="2"/>
  <c r="G147" i="2"/>
  <c r="G146" i="2"/>
  <c r="K145" i="2"/>
  <c r="O145" i="2" s="1"/>
  <c r="G145" i="2"/>
  <c r="G144" i="2"/>
  <c r="K143" i="2"/>
  <c r="O143" i="2" s="1"/>
  <c r="G143" i="2"/>
  <c r="K142" i="2"/>
  <c r="O142" i="2" s="1"/>
  <c r="G142" i="2"/>
  <c r="G30" i="2"/>
  <c r="G140" i="2"/>
  <c r="K139" i="2"/>
  <c r="O139" i="2" s="1"/>
  <c r="G139" i="2"/>
  <c r="K137" i="2"/>
  <c r="O137" i="2" s="1"/>
  <c r="G137" i="2"/>
  <c r="G136" i="2"/>
  <c r="G135" i="2"/>
  <c r="K134" i="2"/>
  <c r="O134" i="2" s="1"/>
  <c r="G134" i="2"/>
  <c r="K133" i="2"/>
  <c r="O133" i="2" s="1"/>
  <c r="G133" i="2"/>
  <c r="G132" i="2"/>
  <c r="K131" i="2"/>
  <c r="O131" i="2" s="1"/>
  <c r="G131" i="2"/>
  <c r="G130" i="2"/>
  <c r="G31" i="2"/>
  <c r="G129" i="2"/>
  <c r="K29" i="2"/>
  <c r="G29" i="2"/>
  <c r="K128" i="2"/>
  <c r="O128" i="2" s="1"/>
  <c r="G128" i="2"/>
  <c r="K127" i="2"/>
  <c r="O127" i="2" s="1"/>
  <c r="G127" i="2"/>
  <c r="K126" i="2"/>
  <c r="O126" i="2" s="1"/>
  <c r="G126" i="2"/>
  <c r="G125" i="2"/>
  <c r="K124" i="2"/>
  <c r="O124" i="2" s="1"/>
  <c r="G124" i="2"/>
  <c r="G123" i="2"/>
  <c r="K122" i="2"/>
  <c r="O122" i="2" s="1"/>
  <c r="G122" i="2"/>
  <c r="K121" i="2"/>
  <c r="O121" i="2" s="1"/>
  <c r="G121" i="2"/>
  <c r="K120" i="2"/>
  <c r="O120" i="2" s="1"/>
  <c r="G120" i="2"/>
  <c r="G118" i="2"/>
  <c r="K117" i="2"/>
  <c r="O117" i="2" s="1"/>
  <c r="G117" i="2"/>
  <c r="G116" i="2"/>
  <c r="G25" i="2"/>
  <c r="K115" i="2"/>
  <c r="O115" i="2" s="1"/>
  <c r="G115" i="2"/>
  <c r="G114" i="2"/>
  <c r="G113" i="2"/>
  <c r="G112" i="2"/>
  <c r="K28" i="2"/>
  <c r="G28" i="2"/>
  <c r="G111" i="2"/>
  <c r="K110" i="2"/>
  <c r="O110" i="2" s="1"/>
  <c r="G110" i="2"/>
  <c r="G109" i="2"/>
  <c r="K108" i="2"/>
  <c r="O108" i="2" s="1"/>
  <c r="G108" i="2"/>
  <c r="G107" i="2"/>
  <c r="K106" i="2"/>
  <c r="O106" i="2" s="1"/>
  <c r="G106" i="2"/>
  <c r="K105" i="2"/>
  <c r="O105" i="2" s="1"/>
  <c r="G105" i="2"/>
  <c r="K27" i="2"/>
  <c r="G27" i="2"/>
  <c r="G104" i="2"/>
  <c r="G103" i="2"/>
  <c r="G102" i="2"/>
  <c r="K101" i="2"/>
  <c r="O101" i="2" s="1"/>
  <c r="G101" i="2"/>
  <c r="G100" i="2"/>
  <c r="G99" i="2"/>
  <c r="K98" i="2"/>
  <c r="O98" i="2" s="1"/>
  <c r="G98" i="2"/>
  <c r="G15" i="2"/>
  <c r="G96" i="2"/>
  <c r="O95" i="2"/>
  <c r="G95" i="2"/>
  <c r="K94" i="2"/>
  <c r="O94" i="2" s="1"/>
  <c r="G94" i="2"/>
  <c r="G93" i="2"/>
  <c r="G19" i="2"/>
  <c r="G92" i="2"/>
  <c r="G91" i="2"/>
  <c r="K90" i="2"/>
  <c r="O90" i="2" s="1"/>
  <c r="G90" i="2"/>
  <c r="K89" i="2"/>
  <c r="O89" i="2" s="1"/>
  <c r="G89" i="2"/>
  <c r="G88" i="2"/>
  <c r="G24" i="2"/>
  <c r="K87" i="2"/>
  <c r="O87" i="2" s="1"/>
  <c r="G87" i="2"/>
  <c r="G18" i="2"/>
  <c r="O83" i="2"/>
  <c r="O82" i="2"/>
  <c r="G82" i="2"/>
  <c r="G80" i="2"/>
  <c r="G79" i="2"/>
  <c r="G78" i="2"/>
  <c r="G77" i="2"/>
  <c r="K73" i="2"/>
  <c r="G73" i="2"/>
  <c r="K76" i="2"/>
  <c r="G75" i="2"/>
  <c r="G72" i="2"/>
  <c r="K70" i="2"/>
  <c r="G70" i="2"/>
  <c r="K67" i="2"/>
  <c r="G65" i="2"/>
  <c r="G10" i="2"/>
  <c r="G64" i="2"/>
  <c r="G63" i="2"/>
  <c r="G62" i="2"/>
  <c r="G58" i="2"/>
  <c r="G26" i="2"/>
  <c r="BB4" i="1" l="1"/>
  <c r="BB5" i="1"/>
  <c r="BB6" i="1"/>
  <c r="BB7" i="1"/>
  <c r="BB68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43" i="1"/>
  <c r="BB34" i="1"/>
  <c r="BB35" i="1"/>
  <c r="BB36" i="1"/>
  <c r="BB37" i="1"/>
  <c r="BB38" i="1"/>
  <c r="BB39" i="1"/>
  <c r="BB40" i="1"/>
  <c r="BB41" i="1"/>
  <c r="BB42" i="1"/>
  <c r="BB44" i="1"/>
  <c r="BB45" i="1"/>
  <c r="BB46" i="1"/>
  <c r="BB47" i="1"/>
  <c r="BB85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168" i="1"/>
  <c r="BB62" i="1"/>
  <c r="BB63" i="1"/>
  <c r="BB64" i="1"/>
  <c r="BB65" i="1"/>
  <c r="BB66" i="1"/>
  <c r="BB149" i="1"/>
  <c r="BB67" i="1"/>
  <c r="BB107" i="1"/>
  <c r="BB86" i="1"/>
  <c r="BB108" i="1"/>
  <c r="BB69" i="1"/>
  <c r="BB70" i="1"/>
  <c r="BB71" i="1"/>
  <c r="BB72" i="1"/>
  <c r="BB73" i="1"/>
  <c r="BB74" i="1"/>
  <c r="BB75" i="1"/>
  <c r="BB76" i="1"/>
  <c r="BB77" i="1"/>
  <c r="BB159" i="1"/>
  <c r="BB78" i="1"/>
  <c r="BB79" i="1"/>
  <c r="BB87" i="1"/>
  <c r="BB80" i="1"/>
  <c r="BB81" i="1"/>
  <c r="BB82" i="1"/>
  <c r="BB83" i="1"/>
  <c r="BB84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9" i="1"/>
  <c r="BB101" i="1"/>
  <c r="BB102" i="1"/>
  <c r="BB103" i="1"/>
  <c r="BB110" i="1"/>
  <c r="BB104" i="1"/>
  <c r="BB105" i="1"/>
  <c r="BB106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9" i="1"/>
  <c r="BB131" i="1"/>
  <c r="BB132" i="1"/>
  <c r="BB133" i="1"/>
  <c r="BB134" i="1"/>
  <c r="BB135" i="1"/>
  <c r="BB136" i="1"/>
  <c r="BB137" i="1"/>
  <c r="BB138" i="1"/>
  <c r="BB140" i="1"/>
  <c r="BB141" i="1"/>
  <c r="BB150" i="1"/>
  <c r="BB142" i="1"/>
  <c r="BB160" i="1"/>
  <c r="BB143" i="1"/>
  <c r="BB144" i="1"/>
  <c r="BB145" i="1"/>
  <c r="BB146" i="1"/>
  <c r="BB147" i="1"/>
  <c r="BB148" i="1"/>
  <c r="BB151" i="1"/>
  <c r="BB152" i="1"/>
  <c r="BB153" i="1"/>
  <c r="BB154" i="1"/>
  <c r="BB155" i="1"/>
  <c r="BB156" i="1"/>
  <c r="BB157" i="1"/>
  <c r="BB158" i="1"/>
  <c r="BB161" i="1"/>
  <c r="BB162" i="1"/>
  <c r="BB163" i="1"/>
  <c r="BB164" i="1"/>
  <c r="BB165" i="1"/>
  <c r="BB166" i="1"/>
  <c r="BB167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38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9" i="1"/>
  <c r="BB240" i="1"/>
  <c r="BB241" i="1"/>
  <c r="BB242" i="1"/>
  <c r="BB243" i="1"/>
  <c r="BB3" i="1"/>
  <c r="W4" i="1"/>
  <c r="W5" i="1"/>
  <c r="W6" i="1"/>
  <c r="W7" i="1"/>
  <c r="W68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43" i="1"/>
  <c r="W34" i="1"/>
  <c r="W35" i="1"/>
  <c r="W36" i="1"/>
  <c r="W37" i="1"/>
  <c r="W38" i="1"/>
  <c r="W39" i="1"/>
  <c r="W40" i="1"/>
  <c r="W41" i="1"/>
  <c r="W42" i="1"/>
  <c r="W44" i="1"/>
  <c r="W45" i="1"/>
  <c r="W46" i="1"/>
  <c r="W47" i="1"/>
  <c r="W85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168" i="1"/>
  <c r="W62" i="1"/>
  <c r="W63" i="1"/>
  <c r="W64" i="1"/>
  <c r="W65" i="1"/>
  <c r="W66" i="1"/>
  <c r="W149" i="1"/>
  <c r="W67" i="1"/>
  <c r="W107" i="1"/>
  <c r="W86" i="1"/>
  <c r="W108" i="1"/>
  <c r="W69" i="1"/>
  <c r="W70" i="1"/>
  <c r="W71" i="1"/>
  <c r="W72" i="1"/>
  <c r="W73" i="1"/>
  <c r="W74" i="1"/>
  <c r="W75" i="1"/>
  <c r="W76" i="1"/>
  <c r="W77" i="1"/>
  <c r="W159" i="1"/>
  <c r="W78" i="1"/>
  <c r="W79" i="1"/>
  <c r="W87" i="1"/>
  <c r="W80" i="1"/>
  <c r="W81" i="1"/>
  <c r="W82" i="1"/>
  <c r="W83" i="1"/>
  <c r="W84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9" i="1"/>
  <c r="W101" i="1"/>
  <c r="W102" i="1"/>
  <c r="W103" i="1"/>
  <c r="W110" i="1"/>
  <c r="W104" i="1"/>
  <c r="W105" i="1"/>
  <c r="W106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9" i="1"/>
  <c r="W131" i="1"/>
  <c r="W132" i="1"/>
  <c r="W133" i="1"/>
  <c r="W134" i="1"/>
  <c r="W135" i="1"/>
  <c r="W136" i="1"/>
  <c r="W137" i="1"/>
  <c r="W138" i="1"/>
  <c r="W140" i="1"/>
  <c r="W141" i="1"/>
  <c r="W150" i="1"/>
  <c r="W142" i="1"/>
  <c r="W160" i="1"/>
  <c r="W143" i="1"/>
  <c r="W144" i="1"/>
  <c r="W145" i="1"/>
  <c r="W146" i="1"/>
  <c r="W147" i="1"/>
  <c r="W148" i="1"/>
  <c r="W151" i="1"/>
  <c r="W152" i="1"/>
  <c r="W153" i="1"/>
  <c r="W154" i="1"/>
  <c r="W155" i="1"/>
  <c r="W156" i="1"/>
  <c r="W157" i="1"/>
  <c r="W158" i="1"/>
  <c r="W161" i="1"/>
  <c r="W162" i="1"/>
  <c r="W163" i="1"/>
  <c r="W164" i="1"/>
  <c r="W165" i="1"/>
  <c r="W166" i="1"/>
  <c r="W167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38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9" i="1"/>
  <c r="W240" i="1"/>
  <c r="W241" i="1"/>
  <c r="W242" i="1"/>
  <c r="W243" i="1"/>
  <c r="W3" i="1"/>
  <c r="I172" i="2" l="1"/>
  <c r="J172" i="2" s="1"/>
  <c r="K172" i="2" s="1"/>
  <c r="O172" i="2" s="1"/>
  <c r="I245" i="2" l="1"/>
  <c r="J245" i="2" s="1"/>
  <c r="K245" i="2" s="1"/>
  <c r="O245" i="2" s="1"/>
  <c r="I7" i="2"/>
  <c r="J7" i="2" s="1"/>
  <c r="I270" i="2" l="1"/>
  <c r="J270" i="2" s="1"/>
  <c r="K270" i="2" s="1"/>
  <c r="O270" i="2" s="1"/>
  <c r="I222" i="2" l="1"/>
  <c r="J222" i="2" s="1"/>
  <c r="K222" i="2" s="1"/>
  <c r="O222" i="2" s="1"/>
  <c r="I243" i="2" l="1"/>
  <c r="J243" i="2" s="1"/>
  <c r="K243" i="2" s="1"/>
  <c r="O243" i="2" s="1"/>
  <c r="I129" i="2" l="1"/>
  <c r="J129" i="2" s="1"/>
  <c r="K129" i="2" s="1"/>
  <c r="O129" i="2" s="1"/>
  <c r="I130" i="2" l="1"/>
  <c r="J130" i="2" s="1"/>
  <c r="K130" i="2" s="1"/>
  <c r="O130" i="2" s="1"/>
  <c r="I239" i="2" l="1"/>
  <c r="J239" i="2" s="1"/>
  <c r="K239" i="2" s="1"/>
  <c r="O239" i="2" s="1"/>
  <c r="I69" i="2"/>
  <c r="J69" i="2" s="1"/>
  <c r="K69" i="2" s="1"/>
  <c r="I163" i="2" l="1"/>
  <c r="J163" i="2" s="1"/>
  <c r="K163" i="2" s="1"/>
  <c r="O163" i="2" s="1"/>
  <c r="I280" i="2" l="1"/>
  <c r="J280" i="2" s="1"/>
  <c r="K280" i="2" s="1"/>
  <c r="O280" i="2" s="1"/>
  <c r="I247" i="2" l="1"/>
  <c r="J247" i="2" s="1"/>
  <c r="K247" i="2" s="1"/>
  <c r="I278" i="2" l="1"/>
  <c r="J278" i="2" s="1"/>
  <c r="K278" i="2" s="1"/>
  <c r="O278" i="2" s="1"/>
  <c r="O232" i="2"/>
  <c r="I104" i="2" l="1"/>
  <c r="J104" i="2" s="1"/>
  <c r="K104" i="2" s="1"/>
  <c r="O104" i="2" s="1"/>
  <c r="I199" i="2"/>
  <c r="J199" i="2" s="1"/>
  <c r="K199" i="2" s="1"/>
  <c r="O199" i="2" s="1"/>
  <c r="I160" i="2" l="1"/>
  <c r="J160" i="2" s="1"/>
  <c r="K160" i="2" s="1"/>
  <c r="O160" i="2" s="1"/>
  <c r="I138" i="2" l="1"/>
  <c r="J138" i="2" s="1"/>
  <c r="K138" i="2" s="1"/>
  <c r="O138" i="2" s="1"/>
  <c r="I197" i="2"/>
  <c r="J197" i="2" s="1"/>
  <c r="K197" i="2" s="1"/>
  <c r="O197" i="2" s="1"/>
  <c r="I169" i="2" l="1"/>
  <c r="J169" i="2" s="1"/>
  <c r="K169" i="2" s="1"/>
  <c r="O169" i="2" s="1"/>
  <c r="I194" i="2" l="1"/>
  <c r="J194" i="2" s="1"/>
  <c r="K194" i="2" s="1"/>
  <c r="O194" i="2" s="1"/>
  <c r="I77" i="2" l="1"/>
  <c r="J77" i="2" s="1"/>
  <c r="K77" i="2" s="1"/>
  <c r="I79" i="2" l="1"/>
  <c r="J79" i="2" s="1"/>
  <c r="K79" i="2" s="1"/>
  <c r="I206" i="2" l="1"/>
  <c r="J206" i="2" s="1"/>
  <c r="K206" i="2" s="1"/>
  <c r="O206" i="2" s="1"/>
  <c r="I229" i="2" l="1"/>
  <c r="J229" i="2" s="1"/>
  <c r="K229" i="2" s="1"/>
  <c r="O229" i="2" s="1"/>
  <c r="I86" i="2" l="1"/>
  <c r="J86" i="2" s="1"/>
  <c r="K86" i="2" s="1"/>
  <c r="O86" i="2" s="1"/>
  <c r="I205" i="2" l="1"/>
  <c r="J205" i="2" s="1"/>
  <c r="K205" i="2" s="1"/>
  <c r="O205" i="2" s="1"/>
  <c r="I80" i="2" l="1"/>
  <c r="J80" i="2" s="1"/>
  <c r="K80" i="2" s="1"/>
  <c r="I97" i="2"/>
  <c r="J97" i="2" s="1"/>
  <c r="K97" i="2" s="1"/>
  <c r="O97" i="2" s="1"/>
  <c r="I204" i="2" l="1"/>
  <c r="J204" i="2" s="1"/>
  <c r="K204" i="2" s="1"/>
  <c r="O204" i="2" s="1"/>
  <c r="I96" i="2" l="1"/>
  <c r="J96" i="2" s="1"/>
  <c r="K96" i="2" s="1"/>
  <c r="O96" i="2" s="1"/>
  <c r="I287" i="2" l="1"/>
  <c r="J287" i="2" s="1"/>
  <c r="K287" i="2" s="1"/>
  <c r="O287" i="2" s="1"/>
  <c r="I153" i="2"/>
  <c r="J153" i="2" s="1"/>
  <c r="K153" i="2" s="1"/>
  <c r="O153" i="2" s="1"/>
  <c r="I100" i="2"/>
  <c r="J100" i="2" s="1"/>
  <c r="K100" i="2" s="1"/>
  <c r="O100" i="2" s="1"/>
  <c r="I111" i="2"/>
  <c r="J111" i="2" s="1"/>
  <c r="K111" i="2" s="1"/>
  <c r="O111" i="2" s="1"/>
  <c r="I99" i="2" l="1"/>
  <c r="J99" i="2" s="1"/>
  <c r="K99" i="2" s="1"/>
  <c r="O99" i="2" s="1"/>
  <c r="I260" i="2" l="1"/>
  <c r="J260" i="2" s="1"/>
  <c r="K260" i="2" s="1"/>
  <c r="O260" i="2" s="1"/>
  <c r="I107" i="2"/>
  <c r="J107" i="2" s="1"/>
  <c r="K107" i="2" s="1"/>
  <c r="O107" i="2" s="1"/>
  <c r="I181" i="2" l="1"/>
  <c r="J181" i="2" s="1"/>
  <c r="K181" i="2" s="1"/>
  <c r="O181" i="2" s="1"/>
  <c r="I114" i="2"/>
  <c r="J114" i="2" s="1"/>
  <c r="K114" i="2" s="1"/>
  <c r="O114" i="2" s="1"/>
  <c r="I173" i="2" l="1"/>
  <c r="J173" i="2" s="1"/>
  <c r="K173" i="2" s="1"/>
  <c r="O173" i="2" s="1"/>
  <c r="I251" i="2" l="1"/>
  <c r="J251" i="2" s="1"/>
  <c r="K251" i="2" s="1"/>
  <c r="O251" i="2" s="1"/>
  <c r="I132" i="2"/>
  <c r="J132" i="2" s="1"/>
  <c r="K132" i="2" s="1"/>
  <c r="O132" i="2" s="1"/>
  <c r="I224" i="2"/>
  <c r="J224" i="2" s="1"/>
  <c r="K224" i="2" s="1"/>
  <c r="O224" i="2" s="1"/>
  <c r="I112" i="2" l="1"/>
  <c r="J112" i="2" s="1"/>
  <c r="K112" i="2" s="1"/>
  <c r="O112" i="2" s="1"/>
  <c r="I141" i="2" l="1"/>
  <c r="J141" i="2" s="1"/>
  <c r="K141" i="2" s="1"/>
  <c r="O141" i="2" s="1"/>
  <c r="I113" i="2" l="1"/>
  <c r="J113" i="2" s="1"/>
  <c r="K113" i="2" s="1"/>
  <c r="O113" i="2" s="1"/>
  <c r="I209" i="2" l="1"/>
  <c r="J209" i="2" s="1"/>
  <c r="K209" i="2" s="1"/>
  <c r="O209" i="2" s="1"/>
  <c r="I116" i="2"/>
  <c r="J116" i="2" s="1"/>
  <c r="K116" i="2" s="1"/>
  <c r="O116" i="2" s="1"/>
  <c r="I182" i="2" l="1"/>
  <c r="J182" i="2" s="1"/>
  <c r="K182" i="2" s="1"/>
  <c r="O182" i="2" s="1"/>
  <c r="I208" i="2" l="1"/>
  <c r="J208" i="2" s="1"/>
  <c r="K208" i="2" s="1"/>
  <c r="O208" i="2" s="1"/>
  <c r="I252" i="2" l="1"/>
  <c r="J252" i="2" s="1"/>
  <c r="K252" i="2" s="1"/>
  <c r="I202" i="2"/>
  <c r="J202" i="2" s="1"/>
  <c r="K202" i="2" s="1"/>
  <c r="O202" i="2" s="1"/>
  <c r="I136" i="2" l="1"/>
  <c r="J136" i="2" s="1"/>
  <c r="K136" i="2" s="1"/>
  <c r="O136" i="2" s="1"/>
  <c r="I162" i="2" l="1"/>
  <c r="J162" i="2" s="1"/>
  <c r="K162" i="2" s="1"/>
  <c r="O162" i="2" s="1"/>
  <c r="I91" i="2" l="1"/>
  <c r="J91" i="2" s="1"/>
  <c r="K91" i="2" s="1"/>
  <c r="O91" i="2" s="1"/>
  <c r="I155" i="2" l="1"/>
  <c r="J155" i="2" s="1"/>
  <c r="K155" i="2" s="1"/>
  <c r="O155" i="2" s="1"/>
  <c r="I157" i="2" l="1"/>
  <c r="J157" i="2" s="1"/>
  <c r="K157" i="2" s="1"/>
  <c r="O157" i="2" s="1"/>
  <c r="I226" i="2" l="1"/>
  <c r="J226" i="2" s="1"/>
  <c r="K226" i="2" s="1"/>
  <c r="O226" i="2" s="1"/>
  <c r="I154" i="2"/>
  <c r="J154" i="2" s="1"/>
  <c r="K154" i="2" s="1"/>
  <c r="O154" i="2" s="1"/>
  <c r="I125" i="2" l="1"/>
  <c r="J125" i="2" s="1"/>
  <c r="K125" i="2" s="1"/>
  <c r="O125" i="2" s="1"/>
  <c r="I241" i="2" l="1"/>
  <c r="J241" i="2" s="1"/>
  <c r="K241" i="2" s="1"/>
  <c r="O241" i="2" s="1"/>
  <c r="I81" i="2"/>
  <c r="J81" i="2" s="1"/>
  <c r="K81" i="2" s="1"/>
  <c r="I183" i="2" l="1"/>
  <c r="J183" i="2" s="1"/>
  <c r="K183" i="2" s="1"/>
  <c r="O183" i="2" s="1"/>
  <c r="I259" i="2" l="1"/>
  <c r="J259" i="2" s="1"/>
  <c r="K259" i="2" s="1"/>
  <c r="O259" i="2" s="1"/>
  <c r="I188" i="2" l="1"/>
  <c r="J188" i="2" s="1"/>
  <c r="K188" i="2" s="1"/>
  <c r="O188" i="2" s="1"/>
  <c r="I221" i="2" l="1"/>
  <c r="J221" i="2" s="1"/>
  <c r="K221" i="2" s="1"/>
  <c r="O221" i="2" s="1"/>
  <c r="I85" i="2" l="1"/>
  <c r="J85" i="2" s="1"/>
  <c r="K85" i="2" s="1"/>
  <c r="O85" i="2" s="1"/>
  <c r="I84" i="2" l="1"/>
  <c r="J84" i="2" s="1"/>
  <c r="K84" i="2" s="1"/>
  <c r="O84" i="2" s="1"/>
  <c r="I211" i="2" l="1"/>
  <c r="J211" i="2" s="1"/>
  <c r="K211" i="2" s="1"/>
  <c r="O211" i="2" s="1"/>
  <c r="I166" i="2"/>
  <c r="J166" i="2" s="1"/>
  <c r="K166" i="2" s="1"/>
  <c r="O166" i="2" s="1"/>
  <c r="I88" i="2" l="1"/>
  <c r="J88" i="2" s="1"/>
  <c r="K88" i="2" s="1"/>
  <c r="O88" i="2" s="1"/>
  <c r="I40" i="2"/>
  <c r="J40" i="2" s="1"/>
  <c r="K40" i="2" s="1"/>
  <c r="I203" i="2" l="1"/>
  <c r="J203" i="2" s="1"/>
  <c r="K203" i="2" s="1"/>
  <c r="O203" i="2" s="1"/>
  <c r="I53" i="2" l="1"/>
  <c r="J53" i="2" s="1"/>
  <c r="K53" i="2" s="1"/>
  <c r="I201" i="2" l="1"/>
  <c r="J201" i="2" s="1"/>
  <c r="K201" i="2" s="1"/>
  <c r="O201" i="2" s="1"/>
  <c r="I171" i="2" l="1"/>
  <c r="J171" i="2" s="1"/>
  <c r="K171" i="2" s="1"/>
  <c r="O171" i="2" s="1"/>
  <c r="I168" i="2" l="1"/>
  <c r="J168" i="2" s="1"/>
  <c r="K168" i="2" s="1"/>
  <c r="O168" i="2" s="1"/>
  <c r="I167" i="2" l="1"/>
  <c r="J167" i="2" s="1"/>
  <c r="K167" i="2" s="1"/>
  <c r="O167" i="2" s="1"/>
  <c r="I220" i="2" l="1"/>
  <c r="J220" i="2" s="1"/>
  <c r="K220" i="2" s="1"/>
  <c r="O220" i="2" s="1"/>
  <c r="I193" i="2"/>
  <c r="J193" i="2" s="1"/>
  <c r="K193" i="2" s="1"/>
  <c r="O193" i="2" s="1"/>
  <c r="I148" i="2" l="1"/>
  <c r="J148" i="2" s="1"/>
  <c r="K148" i="2" s="1"/>
  <c r="O148" i="2" s="1"/>
  <c r="I244" i="2"/>
  <c r="J244" i="2" s="1"/>
  <c r="K244" i="2" s="1"/>
  <c r="O244" i="2" s="1"/>
  <c r="I71" i="2"/>
  <c r="K71" i="2" s="1"/>
  <c r="I164" i="2" l="1"/>
  <c r="J164" i="2" s="1"/>
  <c r="K164" i="2" s="1"/>
  <c r="O164" i="2" s="1"/>
  <c r="I228" i="2" l="1"/>
  <c r="J228" i="2" s="1"/>
  <c r="K228" i="2" s="1"/>
  <c r="O228" i="2" s="1"/>
  <c r="I119" i="2" l="1"/>
  <c r="J119" i="2" s="1"/>
  <c r="K119" i="2" s="1"/>
  <c r="O119" i="2" s="1"/>
  <c r="I246" i="2" l="1"/>
  <c r="J246" i="2" s="1"/>
  <c r="K246" i="2" s="1"/>
  <c r="O246" i="2" s="1"/>
  <c r="I274" i="2" l="1"/>
  <c r="J274" i="2" s="1"/>
  <c r="K274" i="2" s="1"/>
  <c r="O274" i="2" s="1"/>
  <c r="I92" i="2" l="1"/>
  <c r="J92" i="2" s="1"/>
  <c r="K92" i="2" s="1"/>
  <c r="O92" i="2" s="1"/>
  <c r="I156" i="2" l="1"/>
  <c r="J156" i="2" s="1"/>
  <c r="K156" i="2" s="1"/>
  <c r="O156" i="2" s="1"/>
  <c r="I165" i="2" l="1"/>
  <c r="J165" i="2" s="1"/>
  <c r="K165" i="2" s="1"/>
  <c r="O165" i="2" s="1"/>
  <c r="I207" i="2" l="1"/>
  <c r="J207" i="2" s="1"/>
  <c r="K207" i="2" s="1"/>
  <c r="O207" i="2" s="1"/>
  <c r="I118" i="2" l="1"/>
  <c r="J118" i="2" s="1"/>
  <c r="K118" i="2" s="1"/>
  <c r="O118" i="2" s="1"/>
  <c r="I158" i="2"/>
  <c r="J158" i="2" s="1"/>
  <c r="K158" i="2" s="1"/>
  <c r="O158" i="2" s="1"/>
  <c r="I227" i="2" l="1"/>
  <c r="J227" i="2" s="1"/>
  <c r="K227" i="2" s="1"/>
  <c r="O227" i="2" s="1"/>
  <c r="I161" i="2"/>
  <c r="J161" i="2" s="1"/>
  <c r="K161" i="2" s="1"/>
  <c r="O161" i="2" s="1"/>
  <c r="I147" i="2" l="1"/>
  <c r="J147" i="2" s="1"/>
  <c r="K147" i="2" s="1"/>
  <c r="O147" i="2" s="1"/>
  <c r="I231" i="2" l="1"/>
  <c r="J231" i="2" s="1"/>
  <c r="K231" i="2" s="1"/>
  <c r="O231" i="2" s="1"/>
  <c r="I215" i="2" l="1"/>
  <c r="J215" i="2" s="1"/>
  <c r="K215" i="2" s="1"/>
  <c r="O215" i="2" s="1"/>
  <c r="I216" i="2" l="1"/>
  <c r="J216" i="2" s="1"/>
  <c r="K216" i="2" s="1"/>
  <c r="O216" i="2" s="1"/>
  <c r="I175" i="2" l="1"/>
  <c r="J175" i="2" s="1"/>
  <c r="K175" i="2" s="1"/>
  <c r="O175" i="2" s="1"/>
  <c r="I276" i="2" l="1"/>
  <c r="J276" i="2" s="1"/>
  <c r="K276" i="2" s="1"/>
  <c r="O276" i="2" s="1"/>
  <c r="I237" i="2" l="1"/>
  <c r="J237" i="2" s="1"/>
  <c r="K237" i="2" s="1"/>
  <c r="O237" i="2" s="1"/>
  <c r="I184" i="2" l="1"/>
  <c r="J184" i="2" s="1"/>
  <c r="K184" i="2" s="1"/>
  <c r="O184" i="2" s="1"/>
  <c r="I180" i="2" l="1"/>
  <c r="J180" i="2" s="1"/>
  <c r="K180" i="2" s="1"/>
  <c r="O180" i="2" s="1"/>
  <c r="I218" i="2" l="1"/>
  <c r="J218" i="2" s="1"/>
  <c r="K218" i="2" s="1"/>
  <c r="O218" i="2" s="1"/>
  <c r="I217" i="2" l="1"/>
  <c r="J217" i="2" s="1"/>
  <c r="K217" i="2" s="1"/>
  <c r="O217" i="2" s="1"/>
  <c r="I219" i="2" l="1"/>
  <c r="J219" i="2" s="1"/>
  <c r="K219" i="2" s="1"/>
  <c r="O219" i="2" s="1"/>
  <c r="I283" i="2" l="1"/>
  <c r="J283" i="2" s="1"/>
  <c r="K283" i="2" s="1"/>
  <c r="O283" i="2" s="1"/>
  <c r="I285" i="2" l="1"/>
  <c r="J285" i="2" s="1"/>
  <c r="K285" i="2" s="1"/>
  <c r="O285" i="2" s="1"/>
  <c r="I282" i="2" l="1"/>
  <c r="J282" i="2" s="1"/>
  <c r="K282" i="2" s="1"/>
  <c r="O282" i="2" s="1"/>
  <c r="I286" i="2" l="1"/>
  <c r="J286" i="2" s="1"/>
  <c r="K286" i="2" s="1"/>
  <c r="O286" i="2" s="1"/>
  <c r="I273" i="2" l="1"/>
  <c r="J273" i="2" s="1"/>
  <c r="K273" i="2" s="1"/>
  <c r="O273" i="2" s="1"/>
  <c r="I233" i="2" l="1"/>
  <c r="J233" i="2" s="1"/>
  <c r="K233" i="2" s="1"/>
  <c r="O233" i="2" s="1"/>
</calcChain>
</file>

<file path=xl/sharedStrings.xml><?xml version="1.0" encoding="utf-8"?>
<sst xmlns="http://schemas.openxmlformats.org/spreadsheetml/2006/main" count="4075" uniqueCount="844">
  <si>
    <t>PN</t>
  </si>
  <si>
    <t>Description</t>
  </si>
  <si>
    <t>Sep</t>
  </si>
  <si>
    <t>Feb</t>
  </si>
  <si>
    <t>May</t>
  </si>
  <si>
    <t>June</t>
  </si>
  <si>
    <t>Aug</t>
  </si>
  <si>
    <t>Oct</t>
  </si>
  <si>
    <t>Nov</t>
  </si>
  <si>
    <t>Dec</t>
  </si>
  <si>
    <t>Jan</t>
  </si>
  <si>
    <t>Mar</t>
  </si>
  <si>
    <t>Apr</t>
  </si>
  <si>
    <t>July</t>
  </si>
  <si>
    <t>total</t>
  </si>
  <si>
    <t>מטוס</t>
  </si>
  <si>
    <t>Inventory</t>
  </si>
  <si>
    <t>מלאי חסום</t>
  </si>
  <si>
    <t>Qtty per plane</t>
  </si>
  <si>
    <t>UR No</t>
  </si>
  <si>
    <t xml:space="preserve"> UR Status</t>
  </si>
  <si>
    <t>Remarks</t>
  </si>
  <si>
    <t>Sept</t>
  </si>
  <si>
    <t>Total</t>
  </si>
  <si>
    <t>30P410170101-501</t>
  </si>
  <si>
    <t>FITTING ASSEMBLY LOWER H/S TRIM ACTUATOR</t>
  </si>
  <si>
    <t>35</t>
  </si>
  <si>
    <t>30P352132400-501</t>
  </si>
  <si>
    <t>30P460164000-501</t>
  </si>
  <si>
    <t>HINGE ASSY</t>
  </si>
  <si>
    <t>30P450194101-501</t>
  </si>
  <si>
    <t>30P310255000-501</t>
  </si>
  <si>
    <t>30P310029000-007</t>
  </si>
  <si>
    <t>30P315533000-501</t>
  </si>
  <si>
    <t>BEAM WL 1654 LHS ASSY</t>
  </si>
  <si>
    <t>30P450170101-501</t>
  </si>
  <si>
    <t>FITTING 1 HSTA UPPER ATTACH FRONT ASSY L</t>
  </si>
  <si>
    <t>4AS3360547-501</t>
  </si>
  <si>
    <t>30P460162000-501</t>
  </si>
  <si>
    <t>FITTING CENTER HINGE ASSEMBLY</t>
  </si>
  <si>
    <t>30P410114100-001</t>
  </si>
  <si>
    <t>RIB 0 FRONT LOWER SHEAR DECK</t>
  </si>
  <si>
    <t>30P331026600-005</t>
  </si>
  <si>
    <t>CONTOURED WASHER</t>
  </si>
  <si>
    <t>30P315631300-001</t>
  </si>
  <si>
    <t>SPACER TEFLON</t>
  </si>
  <si>
    <t>30P420163001-501</t>
  </si>
  <si>
    <t>FITTING ASSEMBLY CENTER HINGE</t>
  </si>
  <si>
    <t>30P310154000-001</t>
  </si>
  <si>
    <t>30P410178901-501</t>
  </si>
  <si>
    <t>FITTING ASSEMBLY LOWER RUDDER HINGE</t>
  </si>
  <si>
    <t>30P312010401-501</t>
  </si>
  <si>
    <t>30P331038101-501</t>
  </si>
  <si>
    <t>GUIDE</t>
  </si>
  <si>
    <t>30P460168000-502</t>
  </si>
  <si>
    <t>FITTING ACTUATOR LINK ASSEMBLY</t>
  </si>
  <si>
    <t>30P450171900-501</t>
  </si>
  <si>
    <t>FITTING ASSY FRONT ELEVATOR ACTUATOR L.H</t>
  </si>
  <si>
    <t>30P450171003-501</t>
  </si>
  <si>
    <t>PIVOT FITTING ASSEMBLY H/S</t>
  </si>
  <si>
    <t>30P410178702-501</t>
  </si>
  <si>
    <t>FITTING ASSEMBLY MIDDLE RUDDER HINGE</t>
  </si>
  <si>
    <t>30P450171900-502</t>
  </si>
  <si>
    <t>FITTING ASSY FRONT ELEVATOR ACTUATOR R.H</t>
  </si>
  <si>
    <t>30P410133200-002</t>
  </si>
  <si>
    <t>ANGLE 2 RIB 10 REAR</t>
  </si>
  <si>
    <t>30P410179700-501</t>
  </si>
  <si>
    <t>30P410118002-501</t>
  </si>
  <si>
    <t>REAR RIB 2 ASSEMBLY</t>
  </si>
  <si>
    <t>30P581601500-501</t>
  </si>
  <si>
    <t>ARM ASSY - IDLER</t>
  </si>
  <si>
    <t>30P450173200-001</t>
  </si>
  <si>
    <t>FITTING 2 FLIGHT CONTROL ATTACH L.H.S</t>
  </si>
  <si>
    <t>30P410133200-001</t>
  </si>
  <si>
    <t>ANGLE 1 RIB 10 REAR</t>
  </si>
  <si>
    <t>30P450170101-502</t>
  </si>
  <si>
    <t>FITTING 1 HSTA UPPER ATTACH FRONT ASSY R</t>
  </si>
  <si>
    <t>30P450197800-001</t>
  </si>
  <si>
    <t>RETAINER PIN PIVOT</t>
  </si>
  <si>
    <t>30P460161000-501</t>
  </si>
  <si>
    <t>30P420170000-001</t>
  </si>
  <si>
    <t>KEEPER SECURE BOLT</t>
  </si>
  <si>
    <t>30P357207500-501</t>
  </si>
  <si>
    <t>SUPPORT ASSY  1.5IN CLAMP-ECS  AFT</t>
  </si>
  <si>
    <t>30P420160001-501</t>
  </si>
  <si>
    <t>30P450173001-501</t>
  </si>
  <si>
    <t>FITTING 1 FLIGHT CONTROL ASSEMBLY L.H.S</t>
  </si>
  <si>
    <t>30P531125500-001</t>
  </si>
  <si>
    <t>LOCK WASHER</t>
  </si>
  <si>
    <t>30P450045200-501</t>
  </si>
  <si>
    <t>ANGLE ASSEMBLY LOWER SLIDER L.H.S</t>
  </si>
  <si>
    <t>30P410179600-501</t>
  </si>
  <si>
    <t>30P450193101-501</t>
  </si>
  <si>
    <t>30P410132002-501</t>
  </si>
  <si>
    <t>REAR RIB 9 ASSEMBLY</t>
  </si>
  <si>
    <t>30P450025601-001</t>
  </si>
  <si>
    <t>30P783301000-501</t>
  </si>
  <si>
    <t>30P410176600-001</t>
  </si>
  <si>
    <t>FITTING 2 FLIGHT CONTROL ATTACH</t>
  </si>
  <si>
    <t>30P450045200-502</t>
  </si>
  <si>
    <t>ANGLE ASSEMBLY LOWER SLIDER R.H.S</t>
  </si>
  <si>
    <t>30P450175300-001</t>
  </si>
  <si>
    <t>FITTING RIB 1 L.H.S</t>
  </si>
  <si>
    <t>30P531149000-501</t>
  </si>
  <si>
    <t>FITTING ASSY - GUST LOCK SYSTEM</t>
  </si>
  <si>
    <t>30P410128002-501</t>
  </si>
  <si>
    <t>REAR RIB 7 ASSEMBLY</t>
  </si>
  <si>
    <t>30P450025501-001</t>
  </si>
  <si>
    <t>30P450161200-001</t>
  </si>
  <si>
    <t>30P450161300-002</t>
  </si>
  <si>
    <t>SPLICE REAR SPAR ATTACH R.H.S</t>
  </si>
  <si>
    <t>30P410022100-502</t>
  </si>
  <si>
    <t>FORMER 1 ASSEMBLY</t>
  </si>
  <si>
    <t>30P450024100-501</t>
  </si>
  <si>
    <t>FORMER 1 LEADING EDGE ASSEMBLY L.H.S</t>
  </si>
  <si>
    <t>30P357308700-001</t>
  </si>
  <si>
    <t>SLEEVE  SEAL POWER CABLE  AFT BLKD</t>
  </si>
  <si>
    <t>30P357308900-001</t>
  </si>
  <si>
    <t>30P357309000-001</t>
  </si>
  <si>
    <t>30P450173001-502</t>
  </si>
  <si>
    <t>FITTING 1 FLIGHT CONTROL ASSEMBLY R.H.S</t>
  </si>
  <si>
    <t>30P410126002-501</t>
  </si>
  <si>
    <t>REAR RIB 6 ASSEMBLY</t>
  </si>
  <si>
    <t>30P582601000-501</t>
  </si>
  <si>
    <t>RUDDER ARM ASSEMBLY</t>
  </si>
  <si>
    <t>30P450044400-001</t>
  </si>
  <si>
    <t>SP3M003P7-006</t>
  </si>
  <si>
    <t>BUSHING SLEEVE-IN-BORE INNER SLEEVE CRES</t>
  </si>
  <si>
    <t>30P313111700-001</t>
  </si>
  <si>
    <t>30P410181801-001</t>
  </si>
  <si>
    <t>30P410038900-502</t>
  </si>
  <si>
    <t>30P450185101-001</t>
  </si>
  <si>
    <t>FITTING 1 STRINGER 3 ATTACH L.H.S</t>
  </si>
  <si>
    <t>30P450185101-002</t>
  </si>
  <si>
    <t>FITTING 1 STRINGER 3 ATTACH R.H.S</t>
  </si>
  <si>
    <t>30P450177100-001</t>
  </si>
  <si>
    <t>FITTING FLIGHT CONTROL CAM ATTACH</t>
  </si>
  <si>
    <t>30P450177100-002</t>
  </si>
  <si>
    <t>30P420166001-501</t>
  </si>
  <si>
    <t>FITTING ASSEMBLY LOWER HINGE</t>
  </si>
  <si>
    <t>30P357201301-501</t>
  </si>
  <si>
    <t>30P410192202-001</t>
  </si>
  <si>
    <t>BUSHING</t>
  </si>
  <si>
    <t>30P783301100-501</t>
  </si>
  <si>
    <t>30P410036600-001</t>
  </si>
  <si>
    <t>FORMER AFT FAIRING</t>
  </si>
  <si>
    <t>30P583610100-001</t>
  </si>
  <si>
    <t>30P450175100-501</t>
  </si>
  <si>
    <t>30P450155000-502</t>
  </si>
  <si>
    <t>INTERCOSTAL RIB 2-3 ASSEMBLY R.H.S</t>
  </si>
  <si>
    <t>30P410038900-501</t>
  </si>
  <si>
    <t>30P410178501-501</t>
  </si>
  <si>
    <t>30P450024100-502</t>
  </si>
  <si>
    <t>FORMER 1 LEADING EDGE ASSEMBLY R.H.S</t>
  </si>
  <si>
    <t>30P430212200-501</t>
  </si>
  <si>
    <t>30P410177300-501</t>
  </si>
  <si>
    <t>30P450197901-001</t>
  </si>
  <si>
    <t>RETAINER  PIVOT</t>
  </si>
  <si>
    <t>30P430113401-501</t>
  </si>
  <si>
    <t>BRACKET ASSY  HARNESS SUPPORT  HS</t>
  </si>
  <si>
    <t>30P420180100-001</t>
  </si>
  <si>
    <t>30P357207600-501</t>
  </si>
  <si>
    <t>30P450039500-001</t>
  </si>
  <si>
    <t>REDUCED VORTEX GENERATOR</t>
  </si>
  <si>
    <t>30P331074600-501</t>
  </si>
  <si>
    <t>SPRING TENSION ARM ASSY</t>
  </si>
  <si>
    <t>30P410133002-501</t>
  </si>
  <si>
    <t>REAR RIB 10 ASSEMBLY</t>
  </si>
  <si>
    <t>30P283331102-001</t>
  </si>
  <si>
    <t>NLG DOOR AFT</t>
  </si>
  <si>
    <t>SP3M003P6-007</t>
  </si>
  <si>
    <t>BUSHING SLEEVE CLAMP-UP INNER SLEEVE-IN-</t>
  </si>
  <si>
    <t>30P531123200-001</t>
  </si>
  <si>
    <t>EXCENTER</t>
  </si>
  <si>
    <t>30P410022100-501</t>
  </si>
  <si>
    <t>30P450161200-002</t>
  </si>
  <si>
    <t>30P450171600-001</t>
  </si>
  <si>
    <t>FITTING 1 HSTA UPPER ATTACH BOTTOM L.H.S</t>
  </si>
  <si>
    <t>30P410031500-001</t>
  </si>
  <si>
    <t>SPLICE RIB</t>
  </si>
  <si>
    <t>30P410181600-001</t>
  </si>
  <si>
    <t>30P355126700-001</t>
  </si>
  <si>
    <t>30P430211100-501</t>
  </si>
  <si>
    <t>BRACKET ELECTRICAL HARNESS SUPPORT ASSY</t>
  </si>
  <si>
    <t>30P430211200-501</t>
  </si>
  <si>
    <t>30P410022300-502</t>
  </si>
  <si>
    <t>30P430212200-502</t>
  </si>
  <si>
    <t>30P450174901-501</t>
  </si>
  <si>
    <t>FITTING UPPER BRACE ASSY L.H.S</t>
  </si>
  <si>
    <t>30P450174701-501</t>
  </si>
  <si>
    <t>FITTING UPPER BRACE ASSY R.H.S</t>
  </si>
  <si>
    <t>30P141435000-501</t>
  </si>
  <si>
    <t>30P331076700-501</t>
  </si>
  <si>
    <t>30P410192302-001</t>
  </si>
  <si>
    <t>30P310029601-001</t>
  </si>
  <si>
    <t>30P331007300-001</t>
  </si>
  <si>
    <t>4AS2710103-001</t>
  </si>
  <si>
    <t>WASHER</t>
  </si>
  <si>
    <t>4AS9910013-003</t>
  </si>
  <si>
    <t>4AS2830120-503</t>
  </si>
  <si>
    <t>30P283003300-002</t>
  </si>
  <si>
    <t>30P531146000-501</t>
  </si>
  <si>
    <t>30P647003200-002</t>
  </si>
  <si>
    <t>30P450120100-001</t>
  </si>
  <si>
    <t>30P450155300-001</t>
  </si>
  <si>
    <t>30P450155300-002</t>
  </si>
  <si>
    <t>30P410136000-501</t>
  </si>
  <si>
    <t>INTERCOSTAL 1 ASSEMBLY</t>
  </si>
  <si>
    <t>30P315494800-001</t>
  </si>
  <si>
    <t>30P450175300-002</t>
  </si>
  <si>
    <t>FITTING RIB 1 R.H.S</t>
  </si>
  <si>
    <t>30P313472100-501</t>
  </si>
  <si>
    <t>30P265023000-001</t>
  </si>
  <si>
    <t>30P310029000-005</t>
  </si>
  <si>
    <t>30P783455300-501</t>
  </si>
  <si>
    <t>30P410179300-501</t>
  </si>
  <si>
    <t>30P450171401-001</t>
  </si>
  <si>
    <t>30P410181701-001</t>
  </si>
  <si>
    <t>30P410181901-001</t>
  </si>
  <si>
    <t>30P357350200-501</t>
  </si>
  <si>
    <t>30P450039100-001</t>
  </si>
  <si>
    <t>30P450196901-001</t>
  </si>
  <si>
    <t>30P420180200-001</t>
  </si>
  <si>
    <t>30P450177201-501</t>
  </si>
  <si>
    <t>30P450177201-502</t>
  </si>
  <si>
    <t>30P410131101-001</t>
  </si>
  <si>
    <t>30P357201501-501</t>
  </si>
  <si>
    <t>32G410124000-501</t>
  </si>
  <si>
    <t>30P310029701-001</t>
  </si>
  <si>
    <t>30P450193402-501</t>
  </si>
  <si>
    <t>BOLT 3 ASSEMBLY</t>
  </si>
  <si>
    <t>4AS9910013-001</t>
  </si>
  <si>
    <t>30P410022600-501</t>
  </si>
  <si>
    <t>FORMER 6 ASSEMBLY</t>
  </si>
  <si>
    <t>30P315493700-001</t>
  </si>
  <si>
    <t>CAP FITTING</t>
  </si>
  <si>
    <t>30P450260100-001</t>
  </si>
  <si>
    <t>WEDGE TIP HORIZONTAL STABILIZER L.H.S</t>
  </si>
  <si>
    <t>30P450197500-001</t>
  </si>
  <si>
    <t>30P532526400-001</t>
  </si>
  <si>
    <t>30P531125300-501</t>
  </si>
  <si>
    <t>30P410030900-501</t>
  </si>
  <si>
    <t>ANGLE ASSEMBLY FAIRING SIDE L.H.S</t>
  </si>
  <si>
    <t>30P357308600-001</t>
  </si>
  <si>
    <t>30P420169101-501</t>
  </si>
  <si>
    <t>30P141218100-001</t>
  </si>
  <si>
    <t>FITTING UPPER LHS</t>
  </si>
  <si>
    <t>30P450025501-002</t>
  </si>
  <si>
    <t>30P450172000-501</t>
  </si>
  <si>
    <t>30P460168000-501</t>
  </si>
  <si>
    <t>30P420166400-001</t>
  </si>
  <si>
    <t>30P430212500-001</t>
  </si>
  <si>
    <t>BLOCK SUPPORT H/S UPPER SKIN</t>
  </si>
  <si>
    <t>30P420169501-501</t>
  </si>
  <si>
    <t>30P141228400-001</t>
  </si>
  <si>
    <t>30P410115101-001</t>
  </si>
  <si>
    <t>RIB 0 REAR LOWER SHEAR DECK</t>
  </si>
  <si>
    <t>4AS3134024-005</t>
  </si>
  <si>
    <t>COVER</t>
  </si>
  <si>
    <t>30P581601000-501</t>
  </si>
  <si>
    <t>IDLER ARM ASSY</t>
  </si>
  <si>
    <t>30P532571300-001</t>
  </si>
  <si>
    <t>30P357306500-501</t>
  </si>
  <si>
    <t>SUPPORT ASSY-FUEL SYSTEM  AFT FUSLG</t>
  </si>
  <si>
    <t>30P410030900-502</t>
  </si>
  <si>
    <t>ANGLE ASSEMBLY FAIRING SIDE R.H.S</t>
  </si>
  <si>
    <t>30P420166501-001</t>
  </si>
  <si>
    <t>30P581656700-001</t>
  </si>
  <si>
    <t>SPRING STUD</t>
  </si>
  <si>
    <t>4AS9910011-001</t>
  </si>
  <si>
    <t>30P533121000-501</t>
  </si>
  <si>
    <t>30P533121000-502</t>
  </si>
  <si>
    <t>30P410022300-501</t>
  </si>
  <si>
    <t>30P450161300-001</t>
  </si>
  <si>
    <t>SPLICE REAR SPAR ATTACH L.H.S</t>
  </si>
  <si>
    <t>30P410185300-502</t>
  </si>
  <si>
    <t>30P310011100-001</t>
  </si>
  <si>
    <t>30P450155000-501</t>
  </si>
  <si>
    <t>INTERCOSTAL RIB 2-3 ASSEMBLY L.H.S</t>
  </si>
  <si>
    <t>30P310037300-001</t>
  </si>
  <si>
    <t>30P357206700-001</t>
  </si>
  <si>
    <t>30P410192102-001</t>
  </si>
  <si>
    <t>30P450025401-002</t>
  </si>
  <si>
    <t>30P531147000-501</t>
  </si>
  <si>
    <t>30P647003200-001</t>
  </si>
  <si>
    <t>30P647003300-001</t>
  </si>
  <si>
    <t>30P647003300-002</t>
  </si>
  <si>
    <t>30P450044400-002</t>
  </si>
  <si>
    <t>30P410022600-502</t>
  </si>
  <si>
    <t>30P315477700-001</t>
  </si>
  <si>
    <t>30P313140300-001</t>
  </si>
  <si>
    <t>30P315494800-002</t>
  </si>
  <si>
    <t>30P783455600-501</t>
  </si>
  <si>
    <t>CABIN TEMP SENSOR HOUSING ASSY. (3.0 )</t>
  </si>
  <si>
    <t>30P430113400-501</t>
  </si>
  <si>
    <t>30P355140500-001</t>
  </si>
  <si>
    <t>30P355140600-001</t>
  </si>
  <si>
    <t>30P310037200-001</t>
  </si>
  <si>
    <t>30P310037700-001</t>
  </si>
  <si>
    <t>30P310037700-002</t>
  </si>
  <si>
    <t>30P357206200-001</t>
  </si>
  <si>
    <t>30P357206300-501</t>
  </si>
  <si>
    <t>30P357307000-501</t>
  </si>
  <si>
    <t>30P357308800-001</t>
  </si>
  <si>
    <t>RING  SEAL POWER CABLE  AFT BLKD</t>
  </si>
  <si>
    <t>30P782531500-001</t>
  </si>
  <si>
    <t>30P647004101-001</t>
  </si>
  <si>
    <t>30P331074500-001</t>
  </si>
  <si>
    <t>30P450025601-002</t>
  </si>
  <si>
    <t>4AS5310148-501</t>
  </si>
  <si>
    <t>4AS5310138-501</t>
  </si>
  <si>
    <t>30P450172000-502</t>
  </si>
  <si>
    <t>FITTING ASSY REAR ELEVATOR ACTUATOR R.H</t>
  </si>
  <si>
    <t>30P450173200-002</t>
  </si>
  <si>
    <t>FITTING 2 FLIGHT CONTROL ATTACH R.H.S</t>
  </si>
  <si>
    <t>30P141218800-002</t>
  </si>
  <si>
    <t>4AS6900608-003</t>
  </si>
  <si>
    <t>30P450025401-001</t>
  </si>
  <si>
    <t>4AS2830012-001</t>
  </si>
  <si>
    <t>4AS6900001-001</t>
  </si>
  <si>
    <t>30P420164001-001</t>
  </si>
  <si>
    <t>30P141218800-001</t>
  </si>
  <si>
    <t>SP1M321-5</t>
  </si>
  <si>
    <t>30P450194300-001</t>
  </si>
  <si>
    <t>BOLT 4</t>
  </si>
  <si>
    <t>30P141219800-001</t>
  </si>
  <si>
    <t>30P331076500-501</t>
  </si>
  <si>
    <t>FRAME FITTING ASSY</t>
  </si>
  <si>
    <t>30P581602000-501</t>
  </si>
  <si>
    <t>ARM ASSY</t>
  </si>
  <si>
    <t>30P583610400-001</t>
  </si>
  <si>
    <t>30P460192500-001</t>
  </si>
  <si>
    <t>FLANGED BUSHING UNCLAMPED</t>
  </si>
  <si>
    <t>30P410022200-502</t>
  </si>
  <si>
    <t>FORMER 2 ASSEMBLY</t>
  </si>
  <si>
    <t>30P141218300-001</t>
  </si>
  <si>
    <t>30P450123100-001</t>
  </si>
  <si>
    <t>RIB 3 L.H.S</t>
  </si>
  <si>
    <t>30P460185100-001</t>
  </si>
  <si>
    <t>30P583610000-001</t>
  </si>
  <si>
    <t>SHAFT</t>
  </si>
  <si>
    <t>30P532531600-001</t>
  </si>
  <si>
    <t>30P532460300-001</t>
  </si>
  <si>
    <t>30P410022200-501</t>
  </si>
  <si>
    <t>30P532531900-001</t>
  </si>
  <si>
    <t>30P450025701-001</t>
  </si>
  <si>
    <t>FORMER 17 LEADING EDGE L.H.S</t>
  </si>
  <si>
    <t>30P583610500-001</t>
  </si>
  <si>
    <t>30P450260100-002</t>
  </si>
  <si>
    <t>30P410183401-002</t>
  </si>
  <si>
    <t>30P450196701-001</t>
  </si>
  <si>
    <t>PRIMARY BUSHING  PIVOT</t>
  </si>
  <si>
    <t>30P410176500-001</t>
  </si>
  <si>
    <t>FITTING 1 FLIGHT CONTROL ATTACH</t>
  </si>
  <si>
    <t>30P450045101-501</t>
  </si>
  <si>
    <t>30P450045101-502</t>
  </si>
  <si>
    <t>30P410036700-001</t>
  </si>
  <si>
    <t>30P430212300-001</t>
  </si>
  <si>
    <t>30P450123100-002</t>
  </si>
  <si>
    <t>23376-000-00</t>
  </si>
  <si>
    <t>30P371191104-501</t>
  </si>
  <si>
    <t>ריק</t>
  </si>
  <si>
    <t>מקרא: צבע בת.הזמנה:</t>
  </si>
  <si>
    <t>מאחר באספקה</t>
  </si>
  <si>
    <t>אספקה 2026</t>
  </si>
  <si>
    <t>אספקה2027</t>
  </si>
  <si>
    <t>כמות  מינימום באספקה</t>
  </si>
  <si>
    <t>כמות למטוס</t>
  </si>
  <si>
    <t>מטוס מכסה</t>
  </si>
  <si>
    <t>סוג מכונה</t>
  </si>
  <si>
    <t>תחילת ייצור</t>
  </si>
  <si>
    <t>יציאה לתהליכים 1</t>
  </si>
  <si>
    <t>מועד אספקה תהליכים 1</t>
  </si>
  <si>
    <t>מועד אספקה תהליכים 2</t>
  </si>
  <si>
    <t>ספק תהליכים</t>
  </si>
  <si>
    <t>הרכבה</t>
  </si>
  <si>
    <t>תאריך הזמנה במערכת</t>
  </si>
  <si>
    <t>DDP1</t>
  </si>
  <si>
    <t>אין</t>
  </si>
  <si>
    <t>אביג</t>
  </si>
  <si>
    <t>3-4 ימים</t>
  </si>
  <si>
    <t>מיקרו צבע</t>
  </si>
  <si>
    <t>V</t>
  </si>
  <si>
    <t>נמצא בתיקון</t>
  </si>
  <si>
    <t>יצא לתהליכים</t>
  </si>
  <si>
    <t>סקר נכשל ,בהזמנת חו"ג בעובי מתאים</t>
  </si>
  <si>
    <t>TBD</t>
  </si>
  <si>
    <t>תעשייה אווירית - לפי רומן צפי סיום ב30/08 -נשלח לתהליכים ב30/06!</t>
  </si>
  <si>
    <t>FITTING 2 ASSY, RUDDER</t>
  </si>
  <si>
    <t>4 צירים</t>
  </si>
  <si>
    <t>FITTING, UPPER</t>
  </si>
  <si>
    <t>הלברג</t>
  </si>
  <si>
    <t>חריטה+כרסום5 צירים</t>
  </si>
  <si>
    <t>maximart</t>
  </si>
  <si>
    <t>כל ההזמנות</t>
  </si>
  <si>
    <t>חלקים מוכנים כל ההזמנות ממתין לאישור אספקה</t>
  </si>
  <si>
    <t>תעשייה אווירית צפי סיום לפי רומן 22.07 -בפועל חזר ב29/07</t>
  </si>
  <si>
    <t>חזר מניק,לפני עיבוד סופי ושליחה לציפוי צבע</t>
  </si>
  <si>
    <t>ממתין להצעת מחיר</t>
  </si>
  <si>
    <t>ממתין לעדכון מחיר מתעשייה אווירית</t>
  </si>
  <si>
    <t>תעשייה אווירית</t>
  </si>
  <si>
    <t>לפי רומן צפי סיום - 30/07</t>
  </si>
  <si>
    <t>בהכנתFAI זימון מבקר</t>
  </si>
  <si>
    <t>חלקים חזרו עם תלונת לקוח חספק תהליכים .ממתינים לתגובת הספק באשמת מי הבעיה ומה המשך טיפול</t>
  </si>
  <si>
    <t>ממתין לשינוי פריט</t>
  </si>
  <si>
    <t>לפי תשובה של אפרים -פריט זה אינו מתאים- אנו לא מבצעים שינוי פנימי</t>
  </si>
  <si>
    <t>MAKE FROM G-277-1/2X31/2</t>
  </si>
  <si>
    <t>MAKE FROM G-277-1/2X31/2 ממתין לקשיחים</t>
  </si>
  <si>
    <t>לאסק</t>
  </si>
  <si>
    <t>תעשייה אווירית צפי סיום לפי רומן 30.06</t>
  </si>
  <si>
    <t>ממתין לאישור</t>
  </si>
  <si>
    <t>תעשייה אווירית שוט פינינג-30P410175300-001</t>
  </si>
  <si>
    <t>3+5 צירים</t>
  </si>
  <si>
    <t>MAKE FROM G-277-3/8X21/2 ממתין לקשיחים</t>
  </si>
  <si>
    <t>ממתין לקשיחים</t>
  </si>
  <si>
    <t>גבי שואף</t>
  </si>
  <si>
    <t>עבר FAI חלקים מוכנים ממתינים לאישור אספקה</t>
  </si>
  <si>
    <t>6-7 ימים</t>
  </si>
  <si>
    <t>נמצא בהרכבה ,ממתין לקשיח -HL86PB5</t>
  </si>
  <si>
    <t>בז</t>
  </si>
  <si>
    <t>נמצא בתיקון/שאלה /תשובה</t>
  </si>
  <si>
    <t>נדיב</t>
  </si>
  <si>
    <t>FITTING ASSY REAR</t>
  </si>
  <si>
    <t>FWD JACKING POINT</t>
  </si>
  <si>
    <t>הלברג -מוכן לאיסוף</t>
  </si>
  <si>
    <t>בבדיקה</t>
  </si>
  <si>
    <t xml:space="preserve"> ממתין להצעת מחיר מבז</t>
  </si>
  <si>
    <t>חלק בזיווד - ממתין להצעת מחיר מבז</t>
  </si>
  <si>
    <t>הלברג פסיבציה</t>
  </si>
  <si>
    <t>לפני תהליכים</t>
  </si>
  <si>
    <t>יסופק בפברואר 2027</t>
  </si>
  <si>
    <t>BULLET, RIB_MID</t>
  </si>
  <si>
    <t>אין הזמנות פתוחות</t>
  </si>
  <si>
    <t>תעשייה אווירית נמצא בהרכבה /ריתוך</t>
  </si>
  <si>
    <t>30A2520727-001</t>
  </si>
  <si>
    <t>טכנולוגיות</t>
  </si>
  <si>
    <t>30P788311300-001</t>
  </si>
  <si>
    <t>30A2720341-001</t>
  </si>
  <si>
    <t>30A2720331-001</t>
  </si>
  <si>
    <t>28406-000-00</t>
  </si>
  <si>
    <t>30A2520697-001</t>
  </si>
  <si>
    <t>30A2720103-001</t>
  </si>
  <si>
    <t>28141-000-00</t>
  </si>
  <si>
    <t>נדיב -צפי סיום 06/08 לפי תשובה של ספק</t>
  </si>
  <si>
    <t>30P317607200-001</t>
  </si>
  <si>
    <t>23113-000-00</t>
  </si>
  <si>
    <t>23112-000-00</t>
  </si>
  <si>
    <t>23121-000-00</t>
  </si>
  <si>
    <t>23127-000-00</t>
  </si>
  <si>
    <t>30A2520448-001</t>
  </si>
  <si>
    <t>23101-000-00</t>
  </si>
  <si>
    <t>23239-000-00</t>
  </si>
  <si>
    <t>23148-000-00</t>
  </si>
  <si>
    <t>30A2720512-001</t>
  </si>
  <si>
    <t>30P141236900-501</t>
  </si>
  <si>
    <t>COAT ROD AFT FITTING ASSY</t>
  </si>
  <si>
    <t>30P581651301-001</t>
  </si>
  <si>
    <t>SPACER</t>
  </si>
  <si>
    <t>30P283003300-001</t>
  </si>
  <si>
    <t>30P317540300-001</t>
  </si>
  <si>
    <t>4AS2830212-501</t>
  </si>
  <si>
    <t>SP1M321-4</t>
  </si>
  <si>
    <t>30P357200200-001</t>
  </si>
  <si>
    <t>30P410185501-001</t>
  </si>
  <si>
    <t>30P310029501-001</t>
  </si>
  <si>
    <t>30P410185300-501</t>
  </si>
  <si>
    <t>30P420164100-001</t>
  </si>
  <si>
    <t>30P410177601-001</t>
  </si>
  <si>
    <t>FITTING DRAG AFT FUSELAGE ATTACH FRONT</t>
  </si>
  <si>
    <t>5 צירים</t>
  </si>
  <si>
    <t>SP1M293-3-8</t>
  </si>
  <si>
    <t>30A2520106-001</t>
  </si>
  <si>
    <t>4AS3110022-001</t>
  </si>
  <si>
    <t>4AS3110023-003</t>
  </si>
  <si>
    <t>חסר מודל-פריט עצור</t>
  </si>
  <si>
    <t>4AS3112108-001</t>
  </si>
  <si>
    <t>4AS3110023-004</t>
  </si>
  <si>
    <t>4AS3110022-002</t>
  </si>
  <si>
    <t>28803-000-00</t>
  </si>
  <si>
    <t>SP3M003P8-009</t>
  </si>
  <si>
    <t>SP3M003P8-008</t>
  </si>
  <si>
    <t>30P654011400-002</t>
  </si>
  <si>
    <t>30P450121100-001</t>
  </si>
  <si>
    <t>32G410114100-001</t>
  </si>
  <si>
    <t>30P450121100-002</t>
  </si>
  <si>
    <t>30P355115200-001</t>
  </si>
  <si>
    <t>הזמנה בוטלה</t>
  </si>
  <si>
    <t>פריט זיווד , הזמנה בוטלה</t>
  </si>
  <si>
    <t xml:space="preserve">מטוס </t>
  </si>
  <si>
    <t xml:space="preserve">מטוס ישן   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</si>
  <si>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</si>
  <si>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</si>
  <si>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</si>
  <si>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</si>
  <si>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</si>
  <si>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</si>
  <si>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</si>
  <si>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</si>
  <si>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10</t>
  </si>
  <si>
    <t>week 12</t>
  </si>
  <si>
    <t>week 13</t>
  </si>
  <si>
    <t>week 16</t>
  </si>
  <si>
    <t>week 17</t>
  </si>
  <si>
    <t>week 18</t>
  </si>
  <si>
    <t>week 19</t>
  </si>
  <si>
    <t>week 20</t>
  </si>
  <si>
    <t>week 22</t>
  </si>
  <si>
    <t>week 23</t>
  </si>
  <si>
    <t>week 25</t>
  </si>
  <si>
    <t>week 27</t>
  </si>
  <si>
    <t>week 28</t>
  </si>
  <si>
    <t>week 30</t>
  </si>
  <si>
    <t>week 31</t>
  </si>
  <si>
    <t>week 32</t>
  </si>
  <si>
    <t>הזמנה חדשה ממתין לאישור</t>
  </si>
  <si>
    <t>סופק הכל -אין יותר יתרות</t>
  </si>
  <si>
    <t>סופק הכל</t>
  </si>
  <si>
    <t>סחורה מוכנה ממתין לאישור אספקה</t>
  </si>
  <si>
    <t>בבדיקה של אלון ויוסי -בהשגת חומר לפריט הנ"ל</t>
  </si>
  <si>
    <t>תעשייה אווירית - לפי תשובה מרומן מ10/08 -צפי סיום 27.08</t>
  </si>
  <si>
    <t>בעבודה בפעולה אחרונה אחרי שחזר מספק השחזה</t>
  </si>
  <si>
    <t>ממתין לעדכון מחיר</t>
  </si>
  <si>
    <t>סופק 16/08 ב11/08</t>
  </si>
  <si>
    <t>נמצא בביקורת לפני תהליכים</t>
  </si>
  <si>
    <t>תעשייה אווירית  -13/08 לצפי סיום לפי מרומן</t>
  </si>
  <si>
    <t xml:space="preserve">סופק 4 יח ב13/08  </t>
  </si>
  <si>
    <t>נמצא בעבודה</t>
  </si>
  <si>
    <t>נשלח הזמנה לכנפית - לפי עדכון מ16/08 מכנפית צפי סיום הזמנה 03/09</t>
  </si>
  <si>
    <t>גבי שואף/מיקרו צבע</t>
  </si>
  <si>
    <t>שלגרף סימון</t>
  </si>
  <si>
    <t>בשלגרף סימון מיוחד</t>
  </si>
  <si>
    <t>תעש"א-ניירת אלון שוחרר ב15/07 -צפי סיום לפי רומן -27/08  , נדחה על ידי רומן ל30/08</t>
  </si>
  <si>
    <t>צפי סיום תהליכים לפי רומן 31.08</t>
  </si>
  <si>
    <t>תעש"א -לפי רומן צפי סיום - 20/08/26 ,נדחה על ידי רומן ל31/08</t>
  </si>
  <si>
    <t>תעשייה אווירית  -צפי סיום לפי רומן 26.08 נדחה על ידי רומן ל30/08</t>
  </si>
  <si>
    <t>תעשייה אווירית 30P460164100-001 - לפי רומן מגיע רק ב30/08!!!</t>
  </si>
  <si>
    <t>כנפית - צפי סיום 03/09</t>
  </si>
  <si>
    <t>תעשייה אווירית-31.08-30P420163101-001 -/163201/163301/-  2 בנים האלו-עדיין לא קיבלנו תאריך- בטיפול צחי מול רומן</t>
  </si>
  <si>
    <t>בן אחד מוכן , בן שני תחילת ייצור - 20/08/26</t>
  </si>
  <si>
    <t>תעשייה אווירית -אין עדיין תאריך מרומן -בטיפול צחי מול רומן</t>
  </si>
  <si>
    <t>מספר פריט</t>
  </si>
  <si>
    <t>מספר הזמנה</t>
  </si>
  <si>
    <t>מספר
שורה</t>
  </si>
  <si>
    <t>תאריך
אספקה</t>
  </si>
  <si>
    <t>שם לקוח</t>
  </si>
  <si>
    <t>יתרה
לאספקה</t>
  </si>
  <si>
    <t>כמות בה.י.</t>
  </si>
  <si>
    <t>כמות
במחסן</t>
  </si>
  <si>
    <t>30A2520443-001</t>
  </si>
  <si>
    <t>7000145015</t>
  </si>
  <si>
    <t>תע"א חטיבת כלי טייס אזרחיים</t>
  </si>
  <si>
    <t>23174-000-00</t>
  </si>
  <si>
    <t>7000142426</t>
  </si>
  <si>
    <t>‎30P460185100-001‏</t>
  </si>
  <si>
    <t>7000146077</t>
  </si>
  <si>
    <t xml:space="preserve">23374-000-00	</t>
  </si>
  <si>
    <t>30A2520441-001</t>
  </si>
  <si>
    <t>9009T074-001</t>
  </si>
  <si>
    <t>7000128245</t>
  </si>
  <si>
    <t>אלתא מערכות בע"מ</t>
  </si>
  <si>
    <t>23177-000-00</t>
  </si>
  <si>
    <t xml:space="preserve">23252-000-00	</t>
  </si>
  <si>
    <t xml:space="preserve">30A2520678-001	</t>
  </si>
  <si>
    <t>MCT1233807-001</t>
  </si>
  <si>
    <t>7000100252</t>
  </si>
  <si>
    <t>MCT1233808-001</t>
  </si>
  <si>
    <t>MCT1233829-001</t>
  </si>
  <si>
    <t>26043-000-00-R3</t>
  </si>
  <si>
    <t xml:space="preserve">23113-000-00	</t>
  </si>
  <si>
    <t xml:space="preserve">28154-000-00	</t>
  </si>
  <si>
    <t xml:space="preserve">23137-000-00	</t>
  </si>
  <si>
    <t xml:space="preserve">30A2520756-001	</t>
  </si>
  <si>
    <t xml:space="preserve">26046-000-00	</t>
  </si>
  <si>
    <t xml:space="preserve">23358-000-00-R2	</t>
  </si>
  <si>
    <t xml:space="preserve">26237-000-00	</t>
  </si>
  <si>
    <t>23422-000-00</t>
  </si>
  <si>
    <t xml:space="preserve">23133-000-00	</t>
  </si>
  <si>
    <t xml:space="preserve">23357-000-00-R4	</t>
  </si>
  <si>
    <t>23356-000-00</t>
  </si>
  <si>
    <t>23408-000-00</t>
  </si>
  <si>
    <t>28151-000-00</t>
  </si>
  <si>
    <t xml:space="preserve">30A2520448-001	</t>
  </si>
  <si>
    <t>3000030679</t>
  </si>
  <si>
    <t>30A2520659-001‏</t>
  </si>
  <si>
    <t>23086-000-00</t>
  </si>
  <si>
    <t xml:space="preserve">23161-000-00	</t>
  </si>
  <si>
    <t>30A2520738-001</t>
  </si>
  <si>
    <t xml:space="preserve">23208-000-00	</t>
  </si>
  <si>
    <t>23058-000-00</t>
  </si>
  <si>
    <t>26236-000-00</t>
  </si>
  <si>
    <t>30P333222601-501</t>
  </si>
  <si>
    <t>7000140610</t>
  </si>
  <si>
    <t xml:space="preserve">23187-000-00	</t>
  </si>
  <si>
    <t>KTR1521002-001</t>
  </si>
  <si>
    <t>L000290078</t>
  </si>
  <si>
    <t>KTR1521020-001</t>
  </si>
  <si>
    <t>L000296094</t>
  </si>
  <si>
    <t>30A2520482-001</t>
  </si>
  <si>
    <t>L000252352</t>
  </si>
  <si>
    <t>UCP-280-12714-000</t>
  </si>
  <si>
    <t>7000160556</t>
  </si>
  <si>
    <t>תעשייה אווירית לישראל בע"מ /מל"מ</t>
  </si>
  <si>
    <t>TNK2102301-001</t>
  </si>
  <si>
    <t>L000239521</t>
  </si>
  <si>
    <t>‎PAL1311210-001‏</t>
  </si>
  <si>
    <t>PAL1369223-001</t>
  </si>
  <si>
    <t>L000273008</t>
  </si>
  <si>
    <t>23067-000-00</t>
  </si>
  <si>
    <t>KTR1524013-001-PSF</t>
  </si>
  <si>
    <t>L000303256</t>
  </si>
  <si>
    <t>TNK2303302-003</t>
  </si>
  <si>
    <t xml:space="preserve">30P420180100-001	</t>
  </si>
  <si>
    <t>UCP-280-48112-000</t>
  </si>
  <si>
    <t>7000153838</t>
  </si>
  <si>
    <t>L000301850</t>
  </si>
  <si>
    <t>1199C423-001</t>
  </si>
  <si>
    <t>7000155528</t>
  </si>
  <si>
    <t xml:space="preserve">23112-000-00	</t>
  </si>
  <si>
    <t>7000076783</t>
  </si>
  <si>
    <t>‎30P450170101-501‏</t>
  </si>
  <si>
    <t>PAL1175426-501</t>
  </si>
  <si>
    <t>7000149257</t>
  </si>
  <si>
    <t>3000011408</t>
  </si>
  <si>
    <t>PAL1178329-501</t>
  </si>
  <si>
    <t>L000296506</t>
  </si>
  <si>
    <t xml:space="preserve">23134-000-00	</t>
  </si>
  <si>
    <t xml:space="preserve">23363-300-00	</t>
  </si>
  <si>
    <t>23139-000-00</t>
  </si>
  <si>
    <t>TNK1302650-003</t>
  </si>
  <si>
    <t>TNK1302650-011</t>
  </si>
  <si>
    <t xml:space="preserve">	L000235947</t>
  </si>
  <si>
    <t>L000235974</t>
  </si>
  <si>
    <t>3000034743</t>
  </si>
  <si>
    <t>TNK1302650-009</t>
  </si>
  <si>
    <t>3000031736</t>
  </si>
  <si>
    <t>M1127-1009-501</t>
  </si>
  <si>
    <t>7000087103</t>
  </si>
  <si>
    <t>חטיבת מערכות טילים וחלל</t>
  </si>
  <si>
    <t>M1127-1009-502</t>
  </si>
  <si>
    <t>TNK2104500-001</t>
  </si>
  <si>
    <t>L000288605</t>
  </si>
  <si>
    <t>M1127-1016-001</t>
  </si>
  <si>
    <t>7000108688</t>
  </si>
  <si>
    <t>4341-1271-001</t>
  </si>
  <si>
    <t>7000152684</t>
  </si>
  <si>
    <t>4341-1066-001</t>
  </si>
  <si>
    <t>L000283941</t>
  </si>
  <si>
    <t>3000032335</t>
  </si>
  <si>
    <t>TNK1105650-008</t>
  </si>
  <si>
    <t xml:space="preserve">	L000239513</t>
  </si>
  <si>
    <t>3000030606</t>
  </si>
  <si>
    <t>L000274872</t>
  </si>
  <si>
    <t>3000031808</t>
  </si>
  <si>
    <t>7000150891</t>
  </si>
  <si>
    <t xml:space="preserve">30P352132400-501	</t>
  </si>
  <si>
    <t>7000095261</t>
  </si>
  <si>
    <t>3000030556</t>
  </si>
  <si>
    <t>L000287248</t>
  </si>
  <si>
    <t>3000030662</t>
  </si>
  <si>
    <t>16W119-19 FAI</t>
  </si>
  <si>
    <t>L000184936</t>
  </si>
  <si>
    <t>L000235929</t>
  </si>
  <si>
    <t>3000030623</t>
  </si>
  <si>
    <t>KTR1523020-001</t>
  </si>
  <si>
    <t>L000300558</t>
  </si>
  <si>
    <t>KTR1523005-001-PSF</t>
  </si>
  <si>
    <t>16W119-20</t>
  </si>
  <si>
    <t>L000240682</t>
  </si>
  <si>
    <t>16W119-19</t>
  </si>
  <si>
    <t>3000030647</t>
  </si>
  <si>
    <t>9001J159-001</t>
  </si>
  <si>
    <t>7000126428</t>
  </si>
  <si>
    <t>M1127-1011-001</t>
  </si>
  <si>
    <t>9001J165-001</t>
  </si>
  <si>
    <t>23368-000-00</t>
  </si>
  <si>
    <t>L000237119</t>
  </si>
  <si>
    <t>UCP-280-17320-000</t>
  </si>
  <si>
    <t>7000167369</t>
  </si>
  <si>
    <t>UCP-280-17308-000</t>
  </si>
  <si>
    <t xml:space="preserve">UCP-280-17304-000	</t>
  </si>
  <si>
    <t>SP3M003P7-006‏</t>
  </si>
  <si>
    <t>‎30P410185501-001‏</t>
  </si>
  <si>
    <t>3000031760</t>
  </si>
  <si>
    <t>‎30P410132002-501‏</t>
  </si>
  <si>
    <t>‎30P420163001-501‏</t>
  </si>
  <si>
    <t>L000235937</t>
  </si>
  <si>
    <t>3000030627</t>
  </si>
  <si>
    <t>‎30P581601500-501‏</t>
  </si>
  <si>
    <t>3000030558</t>
  </si>
  <si>
    <t>16B3803-10</t>
  </si>
  <si>
    <t>3000036201</t>
  </si>
  <si>
    <t>16W121-22</t>
  </si>
  <si>
    <t>L000247259</t>
  </si>
  <si>
    <t>16B3803-9</t>
  </si>
  <si>
    <t>TNK1305650-006</t>
  </si>
  <si>
    <t>L000298093</t>
  </si>
  <si>
    <t>L000240692</t>
  </si>
  <si>
    <t>9000C561-001</t>
  </si>
  <si>
    <t>9001J078-001</t>
  </si>
  <si>
    <t>M1127-1013-001</t>
  </si>
  <si>
    <t>16W121-21</t>
  </si>
  <si>
    <t>3000031766</t>
  </si>
  <si>
    <t>3000036197</t>
  </si>
  <si>
    <t>‎30P450171900-501‏</t>
  </si>
  <si>
    <t>TNK2104510-001</t>
  </si>
  <si>
    <t>PAL1178012-501</t>
  </si>
  <si>
    <t>L000299238</t>
  </si>
  <si>
    <t>TNK1305650-004</t>
  </si>
  <si>
    <t>30P450171900-502‏</t>
  </si>
  <si>
    <t>16W1120-13</t>
  </si>
  <si>
    <t>TNK1105650-012</t>
  </si>
  <si>
    <t>L000237699</t>
  </si>
  <si>
    <t>TNK1305650-003</t>
  </si>
  <si>
    <t>‎30P582601000-501‏</t>
  </si>
  <si>
    <t>‎30P450172000-501‏</t>
  </si>
  <si>
    <t>KTR1311212-001</t>
  </si>
  <si>
    <t>16B3806-9</t>
  </si>
  <si>
    <t>3000015414</t>
  </si>
  <si>
    <t>‎KTR1523012-001‏</t>
  </si>
  <si>
    <t>TNK1109850-505</t>
  </si>
  <si>
    <t>‎30P410179700-501‏</t>
  </si>
  <si>
    <t>‎30P450173001-501</t>
  </si>
  <si>
    <t>30P531122600-001</t>
  </si>
  <si>
    <t>7000139909</t>
  </si>
  <si>
    <t>‎30P410133200-002‏</t>
  </si>
  <si>
    <t>30P450161200-002‏</t>
  </si>
  <si>
    <t>‎30P410133200-001</t>
  </si>
  <si>
    <t>TNK1105650-013</t>
  </si>
  <si>
    <t>‎30P450177100-002‏</t>
  </si>
  <si>
    <t>L000252084</t>
  </si>
  <si>
    <t>16W1120-14</t>
  </si>
  <si>
    <t>‎30P450177100-001‏</t>
  </si>
  <si>
    <t>30P410030900-501‏</t>
  </si>
  <si>
    <t>23409-000-00</t>
  </si>
  <si>
    <t>30P318119500-001</t>
  </si>
  <si>
    <t>30A2720121-002</t>
  </si>
  <si>
    <t>KTR1115854-001</t>
  </si>
  <si>
    <t>30P410185300-502‏</t>
  </si>
  <si>
    <t>‎30P450173200-002‏</t>
  </si>
  <si>
    <t>‎30P410131101-001</t>
  </si>
  <si>
    <t>3000030650</t>
  </si>
  <si>
    <t>‎30P410179600-501‏</t>
  </si>
  <si>
    <t>30P450185101-001‏</t>
  </si>
  <si>
    <t>TNK1105650-007</t>
  </si>
  <si>
    <t>‎30P450185101-002‏</t>
  </si>
  <si>
    <t>‎30P410177300-501</t>
  </si>
  <si>
    <t>L000263975</t>
  </si>
  <si>
    <t>‎30P410038900-502</t>
  </si>
  <si>
    <t>30A2720121-001</t>
  </si>
  <si>
    <t>‎30P410038900-501‏</t>
  </si>
  <si>
    <t>30P410022600-501‏</t>
  </si>
  <si>
    <t>30P430212200-501‏</t>
  </si>
  <si>
    <t>30A2720314-001</t>
  </si>
  <si>
    <t>3000014458</t>
  </si>
  <si>
    <t>‎30P410178501-501‏</t>
  </si>
  <si>
    <t>‎30P430212200-502‏</t>
  </si>
  <si>
    <t>‎30P450175100-501‏</t>
  </si>
  <si>
    <t>‎30P581601000-501‏</t>
  </si>
  <si>
    <t>KTR1161130-501</t>
  </si>
  <si>
    <t>NRE -KTR1177035-001</t>
  </si>
  <si>
    <t>KTR1177035-001</t>
  </si>
  <si>
    <t>TNK2000303-005</t>
  </si>
  <si>
    <t>TNK2000301-501P</t>
  </si>
  <si>
    <t>KTR1311348-002</t>
  </si>
  <si>
    <t>L000296654</t>
  </si>
  <si>
    <t>‎KTR1523013-001‏</t>
  </si>
  <si>
    <t>KTR1261325-001</t>
  </si>
  <si>
    <t>PAL1110240-001</t>
  </si>
  <si>
    <t>‎KTR1311279-001‏</t>
  </si>
  <si>
    <t>28206-000-00-PSF</t>
  </si>
  <si>
    <t>PAL3800018-501</t>
  </si>
  <si>
    <t>PAL3800019-501</t>
  </si>
  <si>
    <t>TNK1102650-009</t>
  </si>
  <si>
    <t>23149-000-00</t>
  </si>
  <si>
    <t>L000284629</t>
  </si>
  <si>
    <t>28132-000-00</t>
  </si>
  <si>
    <t>30P410176500-001‏</t>
  </si>
  <si>
    <t>L000253478</t>
  </si>
  <si>
    <t>23128-000-00</t>
  </si>
  <si>
    <t>‎30P450197500-001‏</t>
  </si>
  <si>
    <t>30P333213800-501</t>
  </si>
  <si>
    <t>SP1M293-3-9</t>
  </si>
  <si>
    <t xml:space="preserve">23357-000-00-R2	</t>
  </si>
  <si>
    <t xml:space="preserve">23357-000-00-R3	</t>
  </si>
  <si>
    <t xml:space="preserve">23201-000-00	</t>
  </si>
  <si>
    <t>30P450120100-001‏</t>
  </si>
  <si>
    <t>23074-000-00</t>
  </si>
  <si>
    <t xml:space="preserve">30A2520442-001	</t>
  </si>
  <si>
    <t>23163-000-00</t>
  </si>
  <si>
    <t xml:space="preserve">23121-000-00	</t>
  </si>
  <si>
    <t xml:space="preserve">30A2720512-001	</t>
  </si>
  <si>
    <t xml:space="preserve">23139-000-00	</t>
  </si>
  <si>
    <t xml:space="preserve">23127-000-00	</t>
  </si>
  <si>
    <t>23178-000-00</t>
  </si>
  <si>
    <t>23142-000-00</t>
  </si>
  <si>
    <t>3000036196</t>
  </si>
  <si>
    <t>30A2520492-001</t>
  </si>
  <si>
    <t>23218-000-00</t>
  </si>
  <si>
    <t>KTR1524026-001</t>
  </si>
  <si>
    <t>23123-000-00</t>
  </si>
  <si>
    <t xml:space="preserve">23451-000-00	</t>
  </si>
  <si>
    <t>7000078420</t>
  </si>
  <si>
    <t>3451-0000-006</t>
  </si>
  <si>
    <t>‎30P410167101-001</t>
  </si>
  <si>
    <t>30P450025701-002</t>
  </si>
  <si>
    <t>30A2520117-001</t>
  </si>
  <si>
    <t xml:space="preserve">23164-000-00	</t>
  </si>
  <si>
    <t xml:space="preserve">28142-000-00	</t>
  </si>
  <si>
    <t>28144-000-00</t>
  </si>
  <si>
    <t>‎30P450172000-502‏</t>
  </si>
  <si>
    <t>30A2520317-001</t>
  </si>
  <si>
    <t>30A2520313-001</t>
  </si>
  <si>
    <t>30A2520315-001</t>
  </si>
  <si>
    <t>30A2520316-001</t>
  </si>
  <si>
    <t xml:space="preserve">30A2520312-001	</t>
  </si>
  <si>
    <t>28311-000-00-PSF</t>
  </si>
  <si>
    <t>‎30A2520334-002‏</t>
  </si>
  <si>
    <t>בעבודה</t>
  </si>
  <si>
    <t>סופק ב08/07 - 50 יח ב05/07/26</t>
  </si>
  <si>
    <t>בעבודה פלסטיקים( ללא תהליכים)</t>
  </si>
  <si>
    <t>סופק ב08/07 כל ההזמנות ,הזמנה חדשה -7000140610 יש לעדכן תאריך אספקה ל2027</t>
  </si>
  <si>
    <t>הזמנה חדשה שממתינה לאישור -יש לעדכן תאריך אספקה ל2027</t>
  </si>
  <si>
    <t>מוכן ממתין לאישור אספקה</t>
  </si>
  <si>
    <t>לאסק -צפי סיום 23/08</t>
  </si>
  <si>
    <t>יתרה 8 יח תהיה מוכנה עד10/09 כשיהיה מוכן בושינג שחסר להרכבה-30P410190300-001</t>
  </si>
  <si>
    <t>הועבר לתהליכים לתעשייה אווירית ב19/08 -עקב זמן ארוך בתהליכים בגימור מתכות(קדיום)-בן30P450194501-001</t>
  </si>
  <si>
    <t>יצא לתהליכים לתעשייה אווירית עם AOG</t>
  </si>
  <si>
    <t>חלקים מוכנים - ממתין לאישור אספקה</t>
  </si>
  <si>
    <t>בן יצא לתהליכים</t>
  </si>
  <si>
    <t>תעשייה אווירית -אין עדיין תאריך מרומן -</t>
  </si>
  <si>
    <t>בן יצא לתהליכים-30P783301100-001</t>
  </si>
  <si>
    <t>ביקורת פלוס FAI</t>
  </si>
  <si>
    <t>מוכן ממתין למבקר</t>
  </si>
  <si>
    <t>אושר למכירה ממתין לאישור ASN</t>
  </si>
  <si>
    <t>ממתין לעדכון תאריך -לפני ASN</t>
  </si>
  <si>
    <t>סופק ב24/08</t>
  </si>
  <si>
    <t>30P647002200-002</t>
  </si>
  <si>
    <t>30P647002200-001</t>
  </si>
  <si>
    <t>מיקרו צבע -צפי סיום 30/08</t>
  </si>
  <si>
    <t>2 בנים כבר יוצרו נמצאים ברגים ,בן שלישי בעבודה</t>
  </si>
  <si>
    <t>10+20</t>
  </si>
  <si>
    <t>הערות 25/08/26</t>
  </si>
  <si>
    <t>צפי אספקה נכון ל25/08</t>
  </si>
  <si>
    <t>בן יצא לתהליכים - 30P450193902-001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</si>
</sst>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000]d/m/yyyy;@"/>
    <numFmt numFmtId="165" formatCode="[$-1010000]d/m/yy;@"/>
  </numFmts>
  <fonts count="2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570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charset val="177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rgb="FFC00000"/>
      <name val="Arial"/>
      <family val="2"/>
    </font>
    <font>
      <b/>
      <sz val="12"/>
      <name val="Arial"/>
      <family val="2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charset val="177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8"/>
      <color indexed="8"/>
      <name val="Tahoma"/>
      <family val="2"/>
    </font>
    <font>
      <b/>
      <sz val="10"/>
      <color indexed="8"/>
      <name val="Arial"/>
      <family val="2"/>
    </font>
    <font>
      <b/>
      <sz val="11"/>
      <color rgb="FFFF0000"/>
      <name val="Calibri"/>
      <family val="2"/>
      <charset val="177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8" fillId="0" borderId="0"/>
    <xf numFmtId="0" fontId="2" fillId="8" borderId="0" applyNumberFormat="0" applyBorder="0" applyAlignment="0" applyProtection="0"/>
    <xf numFmtId="0" fontId="24" fillId="0" borderId="0"/>
  </cellStyleXfs>
  <cellXfs count="205">
    <xf numFmtId="0" fontId="0" fillId="0" borderId="0" xfId="0"/>
    <xf numFmtId="0" fontId="6" fillId="4" borderId="1" xfId="3" applyBorder="1" applyAlignment="1">
      <alignment horizontal="left" vertical="center"/>
    </xf>
    <xf numFmtId="0" fontId="6" fillId="4" borderId="1" xfId="3" applyBorder="1" applyAlignment="1">
      <alignment horizontal="center" vertical="center"/>
    </xf>
    <xf numFmtId="1" fontId="6" fillId="6" borderId="1" xfId="5" applyNumberFormat="1" applyBorder="1" applyAlignment="1">
      <alignment horizontal="center" vertical="center"/>
    </xf>
    <xf numFmtId="0" fontId="6" fillId="6" borderId="1" xfId="5" applyBorder="1" applyAlignment="1">
      <alignment horizontal="center" vertical="center"/>
    </xf>
    <xf numFmtId="1" fontId="6" fillId="6" borderId="1" xfId="5" applyNumberFormat="1" applyBorder="1" applyAlignment="1">
      <alignment horizontal="center"/>
    </xf>
    <xf numFmtId="0" fontId="6" fillId="5" borderId="1" xfId="4" applyBorder="1" applyAlignment="1">
      <alignment horizontal="center" vertical="center"/>
    </xf>
    <xf numFmtId="0" fontId="7" fillId="4" borderId="1" xfId="3" applyFont="1" applyBorder="1" applyAlignment="1">
      <alignment horizontal="left" vertical="center"/>
    </xf>
    <xf numFmtId="0" fontId="7" fillId="4" borderId="1" xfId="3" applyFont="1" applyBorder="1" applyAlignment="1">
      <alignment horizontal="center" vertical="center"/>
    </xf>
    <xf numFmtId="1" fontId="7" fillId="6" borderId="1" xfId="5" applyNumberFormat="1" applyFont="1" applyBorder="1" applyAlignment="1">
      <alignment horizontal="center" vertical="center"/>
    </xf>
    <xf numFmtId="0" fontId="7" fillId="6" borderId="1" xfId="5" applyFont="1" applyBorder="1" applyAlignment="1">
      <alignment horizontal="center" vertical="center"/>
    </xf>
    <xf numFmtId="0" fontId="7" fillId="5" borderId="1" xfId="4" applyFont="1" applyBorder="1" applyAlignment="1">
      <alignment horizontal="center" vertical="center"/>
    </xf>
    <xf numFmtId="0" fontId="8" fillId="0" borderId="1" xfId="7" applyBorder="1" applyAlignment="1">
      <alignment horizontal="center" vertical="center"/>
    </xf>
    <xf numFmtId="0" fontId="8" fillId="0" borderId="1" xfId="7" applyBorder="1" applyAlignment="1">
      <alignment horizontal="center"/>
    </xf>
    <xf numFmtId="1" fontId="8" fillId="0" borderId="1" xfId="7" applyNumberFormat="1" applyBorder="1" applyAlignment="1">
      <alignment horizontal="center"/>
    </xf>
    <xf numFmtId="0" fontId="8" fillId="0" borderId="1" xfId="7" applyBorder="1"/>
    <xf numFmtId="0" fontId="1" fillId="0" borderId="1" xfId="6" applyBorder="1" applyAlignment="1">
      <alignment horizontal="center"/>
    </xf>
    <xf numFmtId="0" fontId="5" fillId="0" borderId="1" xfId="0" applyFont="1" applyBorder="1" applyAlignment="1">
      <alignment horizontal="left"/>
    </xf>
    <xf numFmtId="0" fontId="0" fillId="0" borderId="1" xfId="0" applyBorder="1"/>
    <xf numFmtId="0" fontId="0" fillId="7" borderId="1" xfId="0" applyFill="1" applyBorder="1"/>
    <xf numFmtId="0" fontId="9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164" fontId="12" fillId="9" borderId="1" xfId="8" applyNumberFormat="1" applyFont="1" applyFill="1" applyBorder="1" applyAlignment="1">
      <alignment horizontal="center" wrapText="1"/>
    </xf>
    <xf numFmtId="0" fontId="10" fillId="9" borderId="3" xfId="0" applyFont="1" applyFill="1" applyBorder="1" applyAlignment="1">
      <alignment horizontal="center"/>
    </xf>
    <xf numFmtId="164" fontId="12" fillId="9" borderId="4" xfId="8" applyNumberFormat="1" applyFont="1" applyFill="1" applyBorder="1" applyAlignment="1">
      <alignment horizontal="center" wrapText="1"/>
    </xf>
    <xf numFmtId="0" fontId="13" fillId="0" borderId="0" xfId="0" applyFont="1" applyAlignment="1">
      <alignment horizontal="right"/>
    </xf>
    <xf numFmtId="0" fontId="14" fillId="10" borderId="5" xfId="0" applyFont="1" applyFill="1" applyBorder="1" applyAlignment="1">
      <alignment horizontal="right" vertical="center" wrapText="1" readingOrder="2"/>
    </xf>
    <xf numFmtId="0" fontId="15" fillId="10" borderId="5" xfId="0" applyFont="1" applyFill="1" applyBorder="1" applyAlignment="1">
      <alignment horizontal="center" vertical="center" readingOrder="1"/>
    </xf>
    <xf numFmtId="0" fontId="15" fillId="10" borderId="5" xfId="0" applyFont="1" applyFill="1" applyBorder="1" applyAlignment="1">
      <alignment horizontal="center" vertical="center" wrapText="1" readingOrder="1"/>
    </xf>
    <xf numFmtId="0" fontId="15" fillId="10" borderId="5" xfId="0" applyFont="1" applyFill="1" applyBorder="1" applyAlignment="1">
      <alignment horizontal="center" vertical="center" wrapText="1" readingOrder="2"/>
    </xf>
    <xf numFmtId="0" fontId="15" fillId="10" borderId="5" xfId="0" applyFont="1" applyFill="1" applyBorder="1" applyAlignment="1">
      <alignment horizontal="center" vertical="center" readingOrder="2"/>
    </xf>
    <xf numFmtId="0" fontId="16" fillId="10" borderId="5" xfId="0" applyFont="1" applyFill="1" applyBorder="1" applyAlignment="1">
      <alignment horizontal="center" vertical="center" wrapText="1" readingOrder="2"/>
    </xf>
    <xf numFmtId="0" fontId="16" fillId="7" borderId="5" xfId="0" applyFont="1" applyFill="1" applyBorder="1" applyAlignment="1">
      <alignment horizontal="center" vertical="center" wrapText="1" readingOrder="2"/>
    </xf>
    <xf numFmtId="0" fontId="2" fillId="8" borderId="1" xfId="8" applyBorder="1" applyAlignment="1">
      <alignment horizontal="right"/>
    </xf>
    <xf numFmtId="0" fontId="2" fillId="8" borderId="1" xfId="8" applyBorder="1" applyAlignment="1">
      <alignment horizontal="center"/>
    </xf>
    <xf numFmtId="0" fontId="2" fillId="2" borderId="1" xfId="1" applyBorder="1" applyAlignment="1">
      <alignment horizontal="center"/>
    </xf>
    <xf numFmtId="0" fontId="2" fillId="8" borderId="1" xfId="8" applyBorder="1" applyAlignment="1">
      <alignment horizontal="center" wrapText="1"/>
    </xf>
    <xf numFmtId="164" fontId="2" fillId="8" borderId="1" xfId="8" applyNumberFormat="1" applyBorder="1" applyAlignment="1">
      <alignment horizontal="center"/>
    </xf>
    <xf numFmtId="164" fontId="2" fillId="2" borderId="1" xfId="1" applyNumberFormat="1" applyBorder="1" applyAlignment="1">
      <alignment horizontal="center"/>
    </xf>
    <xf numFmtId="14" fontId="2" fillId="2" borderId="6" xfId="1" applyNumberFormat="1" applyBorder="1" applyAlignment="1">
      <alignment horizontal="center" wrapText="1"/>
    </xf>
    <xf numFmtId="0" fontId="2" fillId="2" borderId="1" xfId="1" applyNumberFormat="1" applyBorder="1" applyAlignment="1">
      <alignment horizontal="center" wrapText="1"/>
    </xf>
    <xf numFmtId="164" fontId="2" fillId="2" borderId="1" xfId="1" applyNumberFormat="1" applyBorder="1" applyAlignment="1">
      <alignment horizontal="center" wrapText="1"/>
    </xf>
    <xf numFmtId="0" fontId="2" fillId="2" borderId="1" xfId="1" applyBorder="1" applyAlignment="1">
      <alignment horizontal="center" wrapText="1" readingOrder="2"/>
    </xf>
    <xf numFmtId="0" fontId="17" fillId="8" borderId="1" xfId="8" applyFont="1" applyBorder="1" applyAlignment="1">
      <alignment horizontal="center" wrapText="1"/>
    </xf>
    <xf numFmtId="14" fontId="2" fillId="8" borderId="6" xfId="8" applyNumberFormat="1" applyBorder="1" applyAlignment="1">
      <alignment horizontal="center" wrapText="1"/>
    </xf>
    <xf numFmtId="0" fontId="2" fillId="8" borderId="1" xfId="8" applyNumberFormat="1" applyBorder="1" applyAlignment="1">
      <alignment horizontal="center" wrapText="1"/>
    </xf>
    <xf numFmtId="14" fontId="2" fillId="8" borderId="1" xfId="8" applyNumberFormat="1" applyBorder="1" applyAlignment="1">
      <alignment horizontal="center"/>
    </xf>
    <xf numFmtId="165" fontId="2" fillId="8" borderId="1" xfId="8" applyNumberFormat="1" applyBorder="1" applyAlignment="1">
      <alignment horizontal="center" wrapText="1"/>
    </xf>
    <xf numFmtId="164" fontId="2" fillId="8" borderId="1" xfId="8" applyNumberFormat="1" applyBorder="1" applyAlignment="1">
      <alignment horizontal="center" wrapText="1"/>
    </xf>
    <xf numFmtId="0" fontId="12" fillId="0" borderId="5" xfId="0" applyFont="1" applyBorder="1" applyAlignment="1">
      <alignment horizontal="right"/>
    </xf>
    <xf numFmtId="0" fontId="18" fillId="0" borderId="5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8" fillId="0" borderId="5" xfId="2" applyFont="1" applyFill="1" applyBorder="1" applyAlignment="1">
      <alignment horizontal="center"/>
    </xf>
    <xf numFmtId="0" fontId="18" fillId="0" borderId="1" xfId="2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164" fontId="19" fillId="8" borderId="1" xfId="8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165" fontId="13" fillId="0" borderId="1" xfId="1" applyNumberFormat="1" applyFont="1" applyFill="1" applyBorder="1" applyAlignment="1">
      <alignment horizontal="center" wrapText="1"/>
    </xf>
    <xf numFmtId="164" fontId="13" fillId="11" borderId="1" xfId="1" applyNumberFormat="1" applyFont="1" applyFill="1" applyBorder="1" applyAlignment="1">
      <alignment horizontal="center" wrapText="1"/>
    </xf>
    <xf numFmtId="0" fontId="13" fillId="0" borderId="1" xfId="8" applyFont="1" applyFill="1" applyBorder="1" applyAlignment="1">
      <alignment horizontal="center" wrapText="1" readingOrder="2"/>
    </xf>
    <xf numFmtId="0" fontId="12" fillId="0" borderId="1" xfId="0" applyFont="1" applyBorder="1" applyAlignment="1">
      <alignment horizontal="right"/>
    </xf>
    <xf numFmtId="0" fontId="18" fillId="0" borderId="1" xfId="0" applyFont="1" applyBorder="1" applyAlignment="1">
      <alignment horizontal="center"/>
    </xf>
    <xf numFmtId="164" fontId="12" fillId="0" borderId="1" xfId="8" applyNumberFormat="1" applyFont="1" applyFill="1" applyBorder="1" applyAlignment="1">
      <alignment horizontal="center"/>
    </xf>
    <xf numFmtId="14" fontId="11" fillId="0" borderId="6" xfId="0" applyNumberFormat="1" applyFont="1" applyBorder="1" applyAlignment="1">
      <alignment horizontal="center" wrapText="1"/>
    </xf>
    <xf numFmtId="0" fontId="20" fillId="12" borderId="1" xfId="2" applyNumberFormat="1" applyFont="1" applyFill="1" applyBorder="1" applyAlignment="1">
      <alignment horizontal="center" wrapText="1"/>
    </xf>
    <xf numFmtId="14" fontId="13" fillId="0" borderId="1" xfId="2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17" fillId="11" borderId="1" xfId="1" applyNumberFormat="1" applyFont="1" applyFill="1" applyBorder="1" applyAlignment="1">
      <alignment horizontal="center" wrapText="1"/>
    </xf>
    <xf numFmtId="164" fontId="13" fillId="0" borderId="1" xfId="7" applyNumberFormat="1" applyFont="1" applyBorder="1" applyAlignment="1">
      <alignment horizontal="center" wrapText="1"/>
    </xf>
    <xf numFmtId="14" fontId="2" fillId="2" borderId="1" xfId="1" applyNumberForma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18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2" fillId="7" borderId="1" xfId="0" applyFont="1" applyFill="1" applyBorder="1" applyAlignment="1">
      <alignment horizontal="right"/>
    </xf>
    <xf numFmtId="0" fontId="18" fillId="7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 wrapText="1"/>
    </xf>
    <xf numFmtId="164" fontId="13" fillId="0" borderId="1" xfId="8" applyNumberFormat="1" applyFont="1" applyFill="1" applyBorder="1" applyAlignment="1">
      <alignment horizontal="center"/>
    </xf>
    <xf numFmtId="0" fontId="20" fillId="0" borderId="1" xfId="0" applyFont="1" applyBorder="1" applyAlignment="1">
      <alignment horizontal="center" wrapText="1"/>
    </xf>
    <xf numFmtId="14" fontId="19" fillId="2" borderId="1" xfId="1" applyNumberFormat="1" applyFont="1" applyBorder="1" applyAlignment="1">
      <alignment horizontal="center"/>
    </xf>
    <xf numFmtId="14" fontId="13" fillId="0" borderId="1" xfId="1" applyNumberFormat="1" applyFont="1" applyFill="1" applyBorder="1" applyAlignment="1">
      <alignment horizontal="center"/>
    </xf>
    <xf numFmtId="0" fontId="2" fillId="0" borderId="1" xfId="1" applyFill="1" applyBorder="1" applyAlignment="1">
      <alignment horizontal="center"/>
    </xf>
    <xf numFmtId="14" fontId="12" fillId="0" borderId="1" xfId="1" applyNumberFormat="1" applyFont="1" applyFill="1" applyBorder="1" applyAlignment="1">
      <alignment horizontal="center"/>
    </xf>
    <xf numFmtId="164" fontId="18" fillId="0" borderId="1" xfId="2" applyNumberFormat="1" applyFont="1" applyFill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right"/>
    </xf>
    <xf numFmtId="0" fontId="11" fillId="0" borderId="1" xfId="1" applyFont="1" applyFill="1" applyBorder="1" applyAlignment="1">
      <alignment horizontal="center"/>
    </xf>
    <xf numFmtId="0" fontId="18" fillId="0" borderId="4" xfId="2" applyFont="1" applyFill="1" applyBorder="1" applyAlignment="1">
      <alignment horizontal="center"/>
    </xf>
    <xf numFmtId="164" fontId="13" fillId="11" borderId="4" xfId="1" applyNumberFormat="1" applyFont="1" applyFill="1" applyBorder="1" applyAlignment="1">
      <alignment horizontal="center" wrapText="1"/>
    </xf>
    <xf numFmtId="0" fontId="2" fillId="0" borderId="1" xfId="8" applyFill="1" applyBorder="1" applyAlignment="1">
      <alignment horizontal="center"/>
    </xf>
    <xf numFmtId="0" fontId="17" fillId="0" borderId="1" xfId="8" applyFont="1" applyFill="1" applyBorder="1" applyAlignment="1">
      <alignment horizontal="center" wrapText="1"/>
    </xf>
    <xf numFmtId="164" fontId="5" fillId="0" borderId="1" xfId="7" applyNumberFormat="1" applyFont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21" fillId="0" borderId="1" xfId="0" applyFont="1" applyBorder="1" applyAlignment="1">
      <alignment horizontal="center"/>
    </xf>
    <xf numFmtId="0" fontId="18" fillId="0" borderId="4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 wrapText="1"/>
    </xf>
    <xf numFmtId="0" fontId="12" fillId="0" borderId="1" xfId="1" applyFont="1" applyFill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0" fontId="12" fillId="0" borderId="1" xfId="1" applyFont="1" applyFill="1" applyBorder="1" applyAlignment="1">
      <alignment horizontal="right"/>
    </xf>
    <xf numFmtId="0" fontId="18" fillId="0" borderId="1" xfId="1" applyFont="1" applyFill="1" applyBorder="1" applyAlignment="1">
      <alignment horizontal="center"/>
    </xf>
    <xf numFmtId="0" fontId="13" fillId="0" borderId="1" xfId="1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11" fillId="0" borderId="1" xfId="2" applyFont="1" applyFill="1" applyBorder="1" applyAlignment="1">
      <alignment horizontal="center"/>
    </xf>
    <xf numFmtId="0" fontId="12" fillId="0" borderId="1" xfId="8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164" fontId="17" fillId="0" borderId="1" xfId="1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4" xfId="0" applyFont="1" applyBorder="1" applyAlignment="1">
      <alignment horizontal="right"/>
    </xf>
    <xf numFmtId="0" fontId="18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2" fillId="8" borderId="5" xfId="8" applyBorder="1" applyAlignment="1">
      <alignment horizontal="center"/>
    </xf>
    <xf numFmtId="0" fontId="2" fillId="0" borderId="5" xfId="1" applyFill="1" applyBorder="1" applyAlignment="1">
      <alignment horizontal="center"/>
    </xf>
    <xf numFmtId="14" fontId="13" fillId="0" borderId="5" xfId="1" applyNumberFormat="1" applyFont="1" applyFill="1" applyBorder="1" applyAlignment="1">
      <alignment horizontal="center"/>
    </xf>
    <xf numFmtId="0" fontId="12" fillId="0" borderId="8" xfId="0" applyFont="1" applyBorder="1" applyAlignment="1">
      <alignment horizontal="right"/>
    </xf>
    <xf numFmtId="0" fontId="2" fillId="8" borderId="8" xfId="8" applyBorder="1" applyAlignment="1">
      <alignment horizontal="right"/>
    </xf>
    <xf numFmtId="0" fontId="11" fillId="0" borderId="2" xfId="0" applyFont="1" applyBorder="1" applyAlignment="1">
      <alignment horizontal="center"/>
    </xf>
    <xf numFmtId="164" fontId="18" fillId="7" borderId="1" xfId="2" applyNumberFormat="1" applyFont="1" applyFill="1" applyBorder="1" applyAlignment="1">
      <alignment horizontal="center"/>
    </xf>
    <xf numFmtId="164" fontId="13" fillId="0" borderId="1" xfId="1" applyNumberFormat="1" applyFont="1" applyFill="1" applyBorder="1" applyAlignment="1">
      <alignment horizontal="center" wrapText="1"/>
    </xf>
    <xf numFmtId="0" fontId="12" fillId="7" borderId="1" xfId="0" applyFont="1" applyFill="1" applyBorder="1" applyAlignment="1">
      <alignment wrapText="1"/>
    </xf>
    <xf numFmtId="0" fontId="2" fillId="8" borderId="1" xfId="8" applyBorder="1" applyAlignment="1">
      <alignment horizontal="center" wrapText="1" readingOrder="2"/>
    </xf>
    <xf numFmtId="165" fontId="2" fillId="13" borderId="1" xfId="1" applyNumberFormat="1" applyFill="1" applyBorder="1" applyAlignment="1">
      <alignment horizontal="center" wrapText="1"/>
    </xf>
    <xf numFmtId="0" fontId="21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 wrapText="1"/>
    </xf>
    <xf numFmtId="0" fontId="10" fillId="0" borderId="9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18" fillId="0" borderId="5" xfId="0" applyFont="1" applyBorder="1" applyAlignment="1">
      <alignment horizontal="center" wrapText="1"/>
    </xf>
    <xf numFmtId="0" fontId="10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2" fillId="2" borderId="1" xfId="1" applyBorder="1" applyAlignment="1">
      <alignment horizontal="right"/>
    </xf>
    <xf numFmtId="0" fontId="4" fillId="2" borderId="1" xfId="1" applyFont="1" applyBorder="1" applyAlignment="1">
      <alignment horizontal="center" wrapText="1"/>
    </xf>
    <xf numFmtId="0" fontId="2" fillId="2" borderId="1" xfId="1" applyBorder="1" applyAlignment="1">
      <alignment horizontal="center" wrapText="1"/>
    </xf>
    <xf numFmtId="0" fontId="0" fillId="0" borderId="0" xfId="0" applyAlignment="1">
      <alignment horizontal="right"/>
    </xf>
    <xf numFmtId="14" fontId="2" fillId="8" borderId="2" xfId="8" applyNumberFormat="1" applyBorder="1" applyAlignment="1">
      <alignment horizontal="center"/>
    </xf>
    <xf numFmtId="164" fontId="18" fillId="7" borderId="1" xfId="2" applyNumberFormat="1" applyFont="1" applyFill="1" applyBorder="1" applyAlignment="1">
      <alignment horizontal="center" wrapText="1"/>
    </xf>
    <xf numFmtId="0" fontId="2" fillId="2" borderId="10" xfId="1" applyBorder="1" applyAlignment="1">
      <alignment horizontal="right"/>
    </xf>
    <xf numFmtId="0" fontId="2" fillId="2" borderId="4" xfId="1" applyBorder="1" applyAlignment="1">
      <alignment horizontal="center"/>
    </xf>
    <xf numFmtId="0" fontId="4" fillId="2" borderId="4" xfId="1" applyFont="1" applyBorder="1" applyAlignment="1">
      <alignment horizontal="center" wrapText="1"/>
    </xf>
    <xf numFmtId="0" fontId="2" fillId="2" borderId="4" xfId="1" applyBorder="1" applyAlignment="1">
      <alignment horizontal="center" wrapText="1"/>
    </xf>
    <xf numFmtId="164" fontId="2" fillId="8" borderId="4" xfId="8" applyNumberFormat="1" applyBorder="1" applyAlignment="1">
      <alignment horizontal="center" wrapText="1"/>
    </xf>
    <xf numFmtId="0" fontId="4" fillId="8" borderId="1" xfId="8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2" fillId="8" borderId="0" xfId="8" applyBorder="1" applyAlignment="1">
      <alignment horizontal="center"/>
    </xf>
    <xf numFmtId="0" fontId="13" fillId="0" borderId="0" xfId="0" applyFont="1" applyAlignment="1">
      <alignment horizontal="center"/>
    </xf>
    <xf numFmtId="164" fontId="13" fillId="0" borderId="1" xfId="1" applyNumberFormat="1" applyFont="1" applyFill="1" applyBorder="1" applyAlignment="1">
      <alignment horizontal="center"/>
    </xf>
    <xf numFmtId="0" fontId="17" fillId="8" borderId="1" xfId="8" applyFont="1" applyBorder="1" applyAlignment="1">
      <alignment horizontal="center"/>
    </xf>
    <xf numFmtId="0" fontId="19" fillId="8" borderId="1" xfId="8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164" fontId="17" fillId="0" borderId="1" xfId="1" applyNumberFormat="1" applyFont="1" applyFill="1" applyBorder="1" applyAlignment="1">
      <alignment horizontal="center" wrapText="1"/>
    </xf>
    <xf numFmtId="0" fontId="0" fillId="7" borderId="1" xfId="0" applyFill="1" applyBorder="1" applyAlignment="1">
      <alignment horizontal="right"/>
    </xf>
    <xf numFmtId="164" fontId="12" fillId="0" borderId="1" xfId="1" applyNumberFormat="1" applyFont="1" applyFill="1" applyBorder="1" applyAlignment="1">
      <alignment horizontal="center" wrapText="1"/>
    </xf>
    <xf numFmtId="0" fontId="13" fillId="0" borderId="1" xfId="0" applyFont="1" applyBorder="1" applyAlignment="1">
      <alignment horizontal="right"/>
    </xf>
    <xf numFmtId="0" fontId="12" fillId="0" borderId="1" xfId="2" applyFont="1" applyFill="1" applyBorder="1" applyAlignment="1">
      <alignment horizontal="center"/>
    </xf>
    <xf numFmtId="0" fontId="5" fillId="7" borderId="1" xfId="0" applyFont="1" applyFill="1" applyBorder="1" applyAlignment="1">
      <alignment horizontal="right"/>
    </xf>
    <xf numFmtId="0" fontId="18" fillId="7" borderId="1" xfId="0" applyFont="1" applyFill="1" applyBorder="1" applyAlignment="1">
      <alignment horizontal="center" wrapText="1"/>
    </xf>
    <xf numFmtId="0" fontId="10" fillId="7" borderId="2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164" fontId="13" fillId="7" borderId="1" xfId="1" applyNumberFormat="1" applyFont="1" applyFill="1" applyBorder="1" applyAlignment="1">
      <alignment horizontal="center"/>
    </xf>
    <xf numFmtId="16" fontId="22" fillId="0" borderId="1" xfId="0" applyNumberFormat="1" applyFont="1" applyBorder="1"/>
    <xf numFmtId="0" fontId="22" fillId="0" borderId="1" xfId="0" applyFont="1" applyBorder="1"/>
    <xf numFmtId="0" fontId="17" fillId="8" borderId="1" xfId="8" applyFont="1" applyBorder="1" applyAlignment="1">
      <alignment horizontal="center" wrapText="1" readingOrder="2"/>
    </xf>
    <xf numFmtId="164" fontId="23" fillId="0" borderId="1" xfId="8" applyNumberFormat="1" applyFont="1" applyFill="1" applyBorder="1" applyAlignment="1">
      <alignment horizontal="center"/>
    </xf>
    <xf numFmtId="14" fontId="13" fillId="0" borderId="6" xfId="0" applyNumberFormat="1" applyFont="1" applyBorder="1" applyAlignment="1">
      <alignment horizontal="center" wrapText="1"/>
    </xf>
    <xf numFmtId="164" fontId="4" fillId="8" borderId="1" xfId="8" applyNumberFormat="1" applyFont="1" applyBorder="1" applyAlignment="1">
      <alignment horizontal="center"/>
    </xf>
    <xf numFmtId="0" fontId="2" fillId="2" borderId="0" xfId="1" applyAlignment="1">
      <alignment horizontal="center"/>
    </xf>
    <xf numFmtId="0" fontId="2" fillId="2" borderId="1" xfId="1" applyBorder="1"/>
    <xf numFmtId="164" fontId="19" fillId="2" borderId="1" xfId="1" applyNumberFormat="1" applyFont="1" applyBorder="1" applyAlignment="1">
      <alignment horizontal="center"/>
    </xf>
    <xf numFmtId="0" fontId="25" fillId="0" borderId="1" xfId="9" applyFont="1" applyBorder="1" applyAlignment="1">
      <alignment horizontal="right" vertical="center" wrapText="1"/>
    </xf>
    <xf numFmtId="0" fontId="25" fillId="0" borderId="1" xfId="9" applyFont="1" applyBorder="1" applyAlignment="1">
      <alignment horizontal="center" vertical="center" wrapText="1"/>
    </xf>
    <xf numFmtId="14" fontId="25" fillId="0" borderId="1" xfId="9" applyNumberFormat="1" applyFont="1" applyBorder="1" applyAlignment="1">
      <alignment horizontal="center" vertical="center" wrapText="1"/>
    </xf>
    <xf numFmtId="0" fontId="24" fillId="0" borderId="1" xfId="9" applyBorder="1" applyAlignment="1">
      <alignment vertical="center"/>
    </xf>
    <xf numFmtId="0" fontId="25" fillId="0" borderId="4" xfId="9" applyFont="1" applyBorder="1" applyAlignment="1">
      <alignment horizontal="right" vertical="center" wrapText="1"/>
    </xf>
    <xf numFmtId="0" fontId="25" fillId="0" borderId="4" xfId="9" applyFont="1" applyBorder="1" applyAlignment="1">
      <alignment horizontal="center" vertical="center" wrapText="1"/>
    </xf>
    <xf numFmtId="14" fontId="25" fillId="0" borderId="4" xfId="9" applyNumberFormat="1" applyFont="1" applyBorder="1" applyAlignment="1">
      <alignment horizontal="center" vertical="center" wrapText="1"/>
    </xf>
    <xf numFmtId="0" fontId="24" fillId="0" borderId="4" xfId="9" applyBorder="1" applyAlignment="1">
      <alignment vertical="center"/>
    </xf>
    <xf numFmtId="0" fontId="26" fillId="14" borderId="11" xfId="9" applyFont="1" applyFill="1" applyBorder="1" applyAlignment="1">
      <alignment horizontal="center" vertical="center"/>
    </xf>
    <xf numFmtId="0" fontId="26" fillId="14" borderId="12" xfId="9" applyFont="1" applyFill="1" applyBorder="1" applyAlignment="1">
      <alignment horizontal="center" vertical="center"/>
    </xf>
    <xf numFmtId="0" fontId="26" fillId="14" borderId="12" xfId="9" applyFont="1" applyFill="1" applyBorder="1" applyAlignment="1">
      <alignment horizontal="center" vertical="center" wrapText="1"/>
    </xf>
    <xf numFmtId="0" fontId="26" fillId="14" borderId="13" xfId="9" applyFont="1" applyFill="1" applyBorder="1" applyAlignment="1">
      <alignment horizontal="center" vertical="center" wrapText="1"/>
    </xf>
    <xf numFmtId="0" fontId="2" fillId="8" borderId="0" xfId="8" applyAlignment="1">
      <alignment horizontal="center"/>
    </xf>
    <xf numFmtId="165" fontId="2" fillId="2" borderId="1" xfId="1" applyNumberFormat="1" applyBorder="1" applyAlignment="1">
      <alignment horizontal="center" wrapText="1"/>
    </xf>
    <xf numFmtId="0" fontId="27" fillId="0" borderId="1" xfId="0" applyFont="1" applyBorder="1" applyAlignment="1">
      <alignment horizontal="right"/>
    </xf>
    <xf numFmtId="0" fontId="13" fillId="7" borderId="1" xfId="8" applyFont="1" applyFill="1" applyBorder="1" applyAlignment="1">
      <alignment horizontal="center" wrapText="1" readingOrder="2"/>
    </xf>
    <xf numFmtId="0" fontId="4" fillId="8" borderId="1" xfId="8" applyFont="1" applyBorder="1" applyAlignment="1">
      <alignment horizontal="center"/>
    </xf>
    <xf numFmtId="0" fontId="4" fillId="2" borderId="1" xfId="1" applyFont="1" applyBorder="1" applyAlignment="1">
      <alignment horizontal="center"/>
    </xf>
    <xf numFmtId="164" fontId="13" fillId="9" borderId="1" xfId="8" applyNumberFormat="1" applyFont="1" applyFill="1" applyBorder="1" applyAlignment="1">
      <alignment horizontal="center" wrapText="1"/>
    </xf>
    <xf numFmtId="0" fontId="17" fillId="0" borderId="1" xfId="8" applyFont="1" applyFill="1" applyBorder="1" applyAlignment="1">
      <alignment horizontal="center" wrapText="1" readingOrder="2"/>
    </xf>
    <xf numFmtId="14" fontId="17" fillId="8" borderId="6" xfId="8" applyNumberFormat="1" applyFont="1" applyBorder="1" applyAlignment="1">
      <alignment horizontal="center" wrapText="1"/>
    </xf>
    <xf numFmtId="0" fontId="4" fillId="7" borderId="1" xfId="0" applyFont="1" applyFill="1" applyBorder="1" applyAlignment="1">
      <alignment horizontal="right"/>
    </xf>
    <xf numFmtId="0" fontId="11" fillId="7" borderId="1" xfId="0" applyFont="1" applyFill="1" applyBorder="1" applyAlignment="1">
      <alignment horizontal="center"/>
    </xf>
    <xf numFmtId="14" fontId="11" fillId="0" borderId="1" xfId="0" applyNumberFormat="1" applyFont="1" applyBorder="1" applyAlignment="1">
      <alignment horizontal="center" wrapText="1"/>
    </xf>
    <xf numFmtId="0" fontId="19" fillId="8" borderId="1" xfId="8" applyFont="1" applyBorder="1" applyAlignment="1">
      <alignment horizontal="center" wrapText="1" readingOrder="2"/>
    </xf>
    <xf numFmtId="165" fontId="13" fillId="15" borderId="1" xfId="1" applyNumberFormat="1" applyFont="1" applyFill="1" applyBorder="1" applyAlignment="1">
      <alignment horizontal="center" wrapText="1"/>
    </xf>
    <xf numFmtId="0" fontId="19" fillId="8" borderId="1" xfId="8" applyFont="1" applyBorder="1" applyAlignment="1">
      <alignment horizontal="right"/>
    </xf>
    <xf numFmtId="0" fontId="17" fillId="2" borderId="1" xfId="1" applyFont="1" applyBorder="1" applyAlignment="1">
      <alignment horizontal="center" wrapText="1"/>
    </xf>
  </cellXfs>
  <cellStyles count="10">
    <cellStyle name="Normal" xfId="0" builtinId="0"/>
    <cellStyle name="Normal 2" xfId="7" xr:uid="{59E2BBE9-0499-4240-92A3-AD37FE325289}"/>
    <cellStyle name="Normal 3" xfId="6" xr:uid="{FB6977CE-8A94-4F34-8657-846ECAB6EE3E}"/>
    <cellStyle name="Normal 4" xfId="9" xr:uid="{F0552356-DB46-4307-A676-F30D18E08A2B}"/>
    <cellStyle name="הדגשה2" xfId="3" builtinId="33"/>
    <cellStyle name="הדגשה5" xfId="4" builtinId="45"/>
    <cellStyle name="הדגשה6" xfId="5" builtinId="49"/>
    <cellStyle name="טוב" xfId="1" builtinId="26"/>
    <cellStyle name="טוב 2" xfId="8" xr:uid="{B3BC52FC-6F33-4403-BFB7-F08AA9FE9D49}"/>
    <cellStyle name="ניטראלי" xfId="2" builtinId="28"/>
  </cellStyles>
  <dxfs count="35">
    <dxf>
      <font>
        <color rgb="FF9C0006"/>
      </font>
      <fill>
        <patternFill>
          <bgColor rgb="FFFFC7CE"/>
        </patternFill>
      </fill>
    </dxf>
    <dxf>
      <fill>
        <patternFill>
          <bgColor theme="8" tint="0.79985961485641044"/>
        </patternFill>
      </fill>
    </dxf>
    <dxf>
      <fill>
        <patternFill>
          <bgColor theme="8" tint="0.79985961485641044"/>
        </patternFill>
      </fill>
    </dxf>
    <dxf>
      <fill>
        <patternFill>
          <bgColor theme="8" tint="0.79985961485641044"/>
        </patternFill>
      </fill>
    </dxf>
    <dxf>
      <fill>
        <patternFill>
          <bgColor theme="5" tint="0.5998413037507248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85961485641044"/>
        </patternFill>
      </fill>
    </dxf>
    <dxf>
      <fill>
        <patternFill>
          <bgColor theme="8" tint="0.79985961485641044"/>
        </patternFill>
      </fill>
    </dxf>
    <dxf>
      <fill>
        <patternFill>
          <bgColor theme="8" tint="0.79985961485641044"/>
        </patternFill>
      </fill>
    </dxf>
    <dxf>
      <fill>
        <patternFill>
          <bgColor theme="5" tint="0.59984130375072486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84130375072486"/>
        </patternFill>
      </fill>
    </dxf>
    <dxf>
      <fill>
        <patternFill>
          <bgColor theme="8" tint="0.79985961485641044"/>
        </patternFill>
      </fill>
    </dxf>
    <dxf>
      <fill>
        <patternFill>
          <bgColor theme="8" tint="0.79985961485641044"/>
        </patternFill>
      </fill>
    </dxf>
    <dxf>
      <fill>
        <patternFill>
          <bgColor theme="8" tint="0.7998596148564104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85961485641044"/>
        </patternFill>
      </fill>
    </dxf>
    <dxf>
      <fill>
        <patternFill>
          <bgColor theme="8" tint="0.79985961485641044"/>
        </patternFill>
      </fill>
    </dxf>
    <dxf>
      <fill>
        <patternFill>
          <bgColor theme="8" tint="0.79985961485641044"/>
        </patternFill>
      </fill>
    </dxf>
    <dxf>
      <fill>
        <patternFill>
          <bgColor theme="5" tint="0.5998413037507248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85961485641044"/>
        </patternFill>
      </fill>
    </dxf>
    <dxf>
      <fill>
        <patternFill>
          <bgColor theme="8" tint="0.79985961485641044"/>
        </patternFill>
      </fill>
    </dxf>
    <dxf>
      <fill>
        <patternFill>
          <bgColor theme="8" tint="0.79985961485641044"/>
        </patternFill>
      </fill>
    </dxf>
    <dxf>
      <fill>
        <patternFill>
          <bgColor theme="5" tint="0.5998413037507248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85961485641044"/>
        </patternFill>
      </fill>
    </dxf>
    <dxf>
      <fill>
        <patternFill>
          <bgColor theme="8" tint="0.79985961485641044"/>
        </patternFill>
      </fill>
    </dxf>
    <dxf>
      <fill>
        <patternFill>
          <bgColor theme="8" tint="0.7998596148564104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85961485641044"/>
        </patternFill>
      </fill>
    </dxf>
    <dxf>
      <fill>
        <patternFill>
          <bgColor theme="8" tint="0.79985961485641044"/>
        </patternFill>
      </fill>
    </dxf>
    <dxf>
      <fill>
        <patternFill>
          <bgColor theme="8" tint="0.79985961485641044"/>
        </patternFill>
      </fill>
    </dxf>
    <dxf>
      <fill>
        <patternFill>
          <bgColor theme="5" tint="0.5998413037507248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גרף!$A$1:$X$1</c:f>
              <c:strCache>
                <c:ptCount val="2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10</c:v>
                </c:pt>
                <c:pt idx="9">
                  <c:v>week 12</c:v>
                </c:pt>
                <c:pt idx="10">
                  <c:v>week 13</c:v>
                </c:pt>
                <c:pt idx="11">
                  <c:v>week 16</c:v>
                </c:pt>
                <c:pt idx="12">
                  <c:v>week 17</c:v>
                </c:pt>
                <c:pt idx="13">
                  <c:v>week 18</c:v>
                </c:pt>
                <c:pt idx="14">
                  <c:v>week 19</c:v>
                </c:pt>
                <c:pt idx="15">
                  <c:v>week 20</c:v>
                </c:pt>
                <c:pt idx="16">
                  <c:v>week 22</c:v>
                </c:pt>
                <c:pt idx="17">
                  <c:v>week 23</c:v>
                </c:pt>
                <c:pt idx="18">
                  <c:v>week 25</c:v>
                </c:pt>
                <c:pt idx="19">
                  <c:v>week 27</c:v>
                </c:pt>
                <c:pt idx="20">
                  <c:v>week 28</c:v>
                </c:pt>
                <c:pt idx="21">
                  <c:v>week 30</c:v>
                </c:pt>
                <c:pt idx="22">
                  <c:v>week 31</c:v>
                </c:pt>
                <c:pt idx="23">
                  <c:v>week 32</c:v>
                </c:pt>
              </c:strCache>
            </c:strRef>
          </c:cat>
          <c:val>
            <c:numRef>
              <c:f>גרף!$A$2:$X$2</c:f>
              <c:numCache>
                <c:formatCode>General</c:formatCode>
                <c:ptCount val="24"/>
                <c:pt idx="0">
                  <c:v>656</c:v>
                </c:pt>
                <c:pt idx="1">
                  <c:v>585</c:v>
                </c:pt>
                <c:pt idx="2">
                  <c:v>474</c:v>
                </c:pt>
                <c:pt idx="3">
                  <c:v>418</c:v>
                </c:pt>
                <c:pt idx="4">
                  <c:v>650</c:v>
                </c:pt>
                <c:pt idx="5">
                  <c:v>602</c:v>
                </c:pt>
                <c:pt idx="6">
                  <c:v>530</c:v>
                </c:pt>
                <c:pt idx="7">
                  <c:v>397</c:v>
                </c:pt>
                <c:pt idx="8">
                  <c:v>626</c:v>
                </c:pt>
                <c:pt idx="9">
                  <c:v>666</c:v>
                </c:pt>
                <c:pt idx="10">
                  <c:v>451</c:v>
                </c:pt>
                <c:pt idx="11">
                  <c:v>542</c:v>
                </c:pt>
                <c:pt idx="12">
                  <c:v>538</c:v>
                </c:pt>
                <c:pt idx="13">
                  <c:v>657</c:v>
                </c:pt>
                <c:pt idx="14">
                  <c:v>531</c:v>
                </c:pt>
                <c:pt idx="15">
                  <c:v>353</c:v>
                </c:pt>
                <c:pt idx="16">
                  <c:v>409</c:v>
                </c:pt>
                <c:pt idx="17">
                  <c:v>495</c:v>
                </c:pt>
                <c:pt idx="18">
                  <c:v>429</c:v>
                </c:pt>
                <c:pt idx="19">
                  <c:v>396</c:v>
                </c:pt>
                <c:pt idx="20">
                  <c:v>360</c:v>
                </c:pt>
                <c:pt idx="21">
                  <c:v>366</c:v>
                </c:pt>
                <c:pt idx="22">
                  <c:v>362</c:v>
                </c:pt>
                <c:pt idx="23">
                  <c:v>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86-4530-91DA-2F73C3574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455872"/>
        <c:axId val="692453576"/>
      </c:lineChart>
      <c:catAx>
        <c:axId val="69245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92453576"/>
        <c:crosses val="autoZero"/>
        <c:auto val="1"/>
        <c:lblAlgn val="ctr"/>
        <c:lblOffset val="100"/>
        <c:noMultiLvlLbl val="0"/>
      </c:catAx>
      <c:valAx>
        <c:axId val="692453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9245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566736</xdr:colOff>
      <xdr:row>6</xdr:row>
      <xdr:rowOff>161925</xdr:rowOff>
    </xdr:from>
    <xdr:to>
      <xdr:col>12</xdr:col>
      <xdr:colOff>495299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41106A-1794-48B7-8C0F-07446531E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customers%20files\DPD\&#1514;&#1493;&#1499;&#1504;&#1497;&#1514;%20&#1506;&#1489;&#1493;&#1491;&#1492;\&#1514;&#1499;&#1504;&#1497;&#1493;&#1514;%20&#1497;&#1497;&#1510;&#1493;&#1512;\&#1514;&#1499;&#1504;&#1497;&#1514;%20%20&#1506;&#1489;&#1493;&#1491;&#1492;.xlsx" TargetMode="External"/><Relationship Id="rId1" Type="http://schemas.openxmlformats.org/officeDocument/2006/relationships/externalLinkPath" Target="&#1514;&#1499;&#1504;&#1497;&#1493;&#1514;%20&#1497;&#1497;&#1510;&#1493;&#1512;/&#1514;&#1499;&#1504;&#1497;&#1514;%20%20&#1506;&#1489;&#1493;&#1491;&#1492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customers%20files\DPD\&#1514;&#1493;&#1499;&#1504;&#1497;&#1514;%20&#1506;&#1489;&#1493;&#1491;&#1492;\&#1502;&#1497;&#1502;&#1491;%20&#1511;&#1493;&#1489;&#1497;&#1493;&#1514;%202.8.%2026.xlsx" TargetMode="External"/><Relationship Id="rId1" Type="http://schemas.openxmlformats.org/officeDocument/2006/relationships/externalLinkPath" Target="&#1502;&#1497;&#1502;&#1491;%20&#1511;&#1493;&#1489;&#1497;&#1493;&#1514;%202.8.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כנית ייצור"/>
      <sheetName val="מס' מטוס"/>
      <sheetName val="הזמנות פתוחות עד30.03.27"/>
      <sheetName val="קב&quot;מ"/>
      <sheetName val="עבודות שסיימו ייצור"/>
    </sheetNames>
    <sheetDataSet>
      <sheetData sheetId="0">
        <row r="1">
          <cell r="F1" t="str">
            <v>מכונה 1 - 3 צירים</v>
          </cell>
        </row>
        <row r="2">
          <cell r="B2" t="str">
            <v>מקט</v>
          </cell>
          <cell r="C2" t="str">
            <v>מס'מטוס/מקט אבא</v>
          </cell>
          <cell r="D2" t="str">
            <v>הערות</v>
          </cell>
          <cell r="E2" t="str">
            <v>תמונה</v>
          </cell>
          <cell r="F2" t="str">
            <v>כמות</v>
          </cell>
          <cell r="G2" t="str">
            <v>סטאטוס חו"ג - תפ"י</v>
          </cell>
          <cell r="H2" t="str">
            <v>תאריך התחלה</v>
          </cell>
        </row>
        <row r="3">
          <cell r="B3" t="str">
            <v>30P450161200-001</v>
          </cell>
          <cell r="C3">
            <v>3015</v>
          </cell>
          <cell r="D3" t="str">
            <v xml:space="preserve">שמאל </v>
          </cell>
          <cell r="F3">
            <v>33</v>
          </cell>
          <cell r="G3" t="str">
            <v>חו"ג הגיע ונמסר לייצור</v>
          </cell>
          <cell r="H3">
            <v>46259</v>
          </cell>
        </row>
        <row r="4">
          <cell r="B4" t="str">
            <v>30P450161200-002‏</v>
          </cell>
          <cell r="C4">
            <v>3018</v>
          </cell>
          <cell r="D4" t="str">
            <v>ימין</v>
          </cell>
          <cell r="F4">
            <v>28</v>
          </cell>
          <cell r="G4" t="str">
            <v>חו"ג הגיע ונמסר לייצור</v>
          </cell>
          <cell r="H4">
            <v>46260</v>
          </cell>
        </row>
        <row r="5">
          <cell r="B5" t="str">
            <v>30P450161300-001</v>
          </cell>
          <cell r="C5">
            <v>3023</v>
          </cell>
          <cell r="D5" t="str">
            <v>ימין</v>
          </cell>
          <cell r="F5">
            <v>24</v>
          </cell>
          <cell r="G5" t="str">
            <v>חו"ג הגיע ונמסר לייצור</v>
          </cell>
          <cell r="H5">
            <v>46264</v>
          </cell>
        </row>
        <row r="6">
          <cell r="B6" t="str">
            <v>30P450161300-002</v>
          </cell>
          <cell r="C6">
            <v>3015</v>
          </cell>
          <cell r="D6" t="str">
            <v xml:space="preserve">שמאל </v>
          </cell>
          <cell r="F6">
            <v>33</v>
          </cell>
          <cell r="G6" t="str">
            <v>חו"ג הגיע ונמסר לייצור</v>
          </cell>
          <cell r="H6">
            <v>46266</v>
          </cell>
        </row>
        <row r="7">
          <cell r="B7" t="str">
            <v>30P450045200-501</v>
          </cell>
          <cell r="C7">
            <v>3013</v>
          </cell>
          <cell r="D7" t="str">
            <v xml:space="preserve">שמאל </v>
          </cell>
          <cell r="F7">
            <v>30</v>
          </cell>
          <cell r="G7" t="str">
            <v>בהזמנת חומר אצל יוסי</v>
          </cell>
          <cell r="H7">
            <v>46268</v>
          </cell>
        </row>
        <row r="8">
          <cell r="B8" t="str">
            <v>30P450045200-502</v>
          </cell>
          <cell r="C8">
            <v>3014</v>
          </cell>
          <cell r="D8" t="str">
            <v>ימין</v>
          </cell>
          <cell r="F8">
            <v>33</v>
          </cell>
          <cell r="G8" t="str">
            <v>בהזמנת חומר אצל יוסי</v>
          </cell>
          <cell r="H8">
            <v>46284</v>
          </cell>
        </row>
        <row r="9">
          <cell r="B9" t="str">
            <v>30P450045101-501</v>
          </cell>
          <cell r="C9">
            <v>3032</v>
          </cell>
          <cell r="F9">
            <v>15</v>
          </cell>
          <cell r="G9" t="str">
            <v>להזמין חו"ג</v>
          </cell>
          <cell r="H9">
            <v>46300</v>
          </cell>
        </row>
        <row r="10">
          <cell r="B10" t="str">
            <v>30P450045101-502</v>
          </cell>
          <cell r="C10">
            <v>3032</v>
          </cell>
          <cell r="F10">
            <v>15</v>
          </cell>
          <cell r="G10" t="str">
            <v>להזמין חו"ג</v>
          </cell>
          <cell r="H10">
            <v>46308</v>
          </cell>
        </row>
        <row r="11">
          <cell r="F11" t="str">
            <v>מכונה 2 - 4 צירים</v>
          </cell>
        </row>
        <row r="12">
          <cell r="B12" t="str">
            <v>מקט</v>
          </cell>
          <cell r="C12" t="str">
            <v>מס'מטוס/מקט אבא</v>
          </cell>
          <cell r="D12" t="str">
            <v>הערות</v>
          </cell>
          <cell r="E12" t="str">
            <v>תמונה</v>
          </cell>
          <cell r="F12" t="str">
            <v>כמות</v>
          </cell>
          <cell r="G12" t="str">
            <v>סטאטוס חו"ג</v>
          </cell>
          <cell r="H12" t="str">
            <v>תאריך התחלה</v>
          </cell>
        </row>
        <row r="13">
          <cell r="B13" t="str">
            <v>30P450172100-002</v>
          </cell>
          <cell r="C13">
            <v>3007</v>
          </cell>
          <cell r="D13" t="str">
            <v>30P450171900-502</v>
          </cell>
          <cell r="F13">
            <v>22</v>
          </cell>
          <cell r="G13" t="str">
            <v>חומר מגיע ב20/8</v>
          </cell>
          <cell r="H13">
            <v>46259</v>
          </cell>
        </row>
        <row r="14">
          <cell r="B14" t="str">
            <v>30P450172100-001</v>
          </cell>
          <cell r="C14">
            <v>3006</v>
          </cell>
          <cell r="D14" t="str">
            <v>30P450171900-501</v>
          </cell>
          <cell r="F14">
            <v>18</v>
          </cell>
          <cell r="G14" t="str">
            <v>יש חומר</v>
          </cell>
          <cell r="H14">
            <v>46261</v>
          </cell>
        </row>
        <row r="15">
          <cell r="B15" t="str">
            <v>28406-000-00</v>
          </cell>
          <cell r="C15" t="str">
            <v>טכנולוגיות</v>
          </cell>
          <cell r="F15">
            <v>31</v>
          </cell>
          <cell r="G15" t="str">
            <v>חו"ג הגיע  -דחוף</v>
          </cell>
          <cell r="H15">
            <v>46266</v>
          </cell>
        </row>
        <row r="16">
          <cell r="B16" t="str">
            <v>30P450193501-001</v>
          </cell>
          <cell r="C16">
            <v>3016</v>
          </cell>
          <cell r="D16" t="str">
            <v>30P450193101-501</v>
          </cell>
          <cell r="F16">
            <v>2</v>
          </cell>
          <cell r="G16" t="str">
            <v xml:space="preserve">חזר מהשחזה ,ממתין להמשך ייצור </v>
          </cell>
          <cell r="H16">
            <v>46271</v>
          </cell>
        </row>
        <row r="17">
          <cell r="B17" t="str">
            <v>TNK1302650-003</v>
          </cell>
          <cell r="C17" t="str">
            <v xml:space="preserve"> שורה 46 L000301850</v>
          </cell>
          <cell r="D17" t="e">
            <v>#N/A</v>
          </cell>
          <cell r="F17">
            <v>4</v>
          </cell>
          <cell r="G17" t="str">
            <v>בהזמנת חומר אצל יוסי</v>
          </cell>
          <cell r="H17">
            <v>46272</v>
          </cell>
        </row>
        <row r="18">
          <cell r="B18" t="str">
            <v>TNK1302650-011</v>
          </cell>
          <cell r="C18" t="str">
            <v xml:space="preserve"> שורה 64 L000301850</v>
          </cell>
          <cell r="D18" t="e">
            <v>#N/A</v>
          </cell>
          <cell r="F18">
            <v>2</v>
          </cell>
          <cell r="G18" t="str">
            <v>בהזמנת חומר אצל יוסי</v>
          </cell>
          <cell r="H18">
            <v>46273</v>
          </cell>
        </row>
        <row r="19">
          <cell r="B19" t="str">
            <v>TNK1302650-009</v>
          </cell>
          <cell r="C19" t="str">
            <v xml:space="preserve"> שורה 40 L000301850</v>
          </cell>
          <cell r="F19">
            <v>3</v>
          </cell>
          <cell r="G19" t="str">
            <v>בהזמנת חומר אצל יוסי</v>
          </cell>
          <cell r="H19">
            <v>46274</v>
          </cell>
        </row>
        <row r="20">
          <cell r="B20" t="str">
            <v>TNK1102650-009</v>
          </cell>
          <cell r="C20" t="str">
            <v>L000240682 שורה 68</v>
          </cell>
          <cell r="F20">
            <v>2</v>
          </cell>
          <cell r="G20" t="str">
            <v>בהזמנת חומר אצל יוסי</v>
          </cell>
          <cell r="H20">
            <v>46276</v>
          </cell>
        </row>
        <row r="21">
          <cell r="B21" t="str">
            <v>30P313111700-001</v>
          </cell>
          <cell r="C21">
            <v>3023</v>
          </cell>
          <cell r="F21">
            <v>88</v>
          </cell>
          <cell r="G21" t="str">
            <v>להזמין חו"ג -יש לתכנת</v>
          </cell>
          <cell r="H21">
            <v>46278</v>
          </cell>
        </row>
        <row r="22">
          <cell r="B22" t="str">
            <v>30P331074500-001</v>
          </cell>
          <cell r="C22">
            <v>3024</v>
          </cell>
          <cell r="F22">
            <v>36</v>
          </cell>
          <cell r="H22">
            <v>46285</v>
          </cell>
        </row>
        <row r="23">
          <cell r="B23" t="str">
            <v>28132-000-00</v>
          </cell>
          <cell r="C23" t="str">
            <v>טכנולוגיות</v>
          </cell>
          <cell r="D23" t="str">
            <v>שמאל</v>
          </cell>
          <cell r="F23">
            <v>18</v>
          </cell>
          <cell r="G23" t="str">
            <v>יתרה</v>
          </cell>
          <cell r="H23">
            <v>46291</v>
          </cell>
        </row>
        <row r="24">
          <cell r="B24" t="str">
            <v>28133-000-00</v>
          </cell>
          <cell r="C24" t="str">
            <v>טכנולוגיות</v>
          </cell>
          <cell r="D24" t="str">
            <v>ימין</v>
          </cell>
          <cell r="F24">
            <v>1</v>
          </cell>
          <cell r="G24" t="str">
            <v>יתרה</v>
          </cell>
          <cell r="H24">
            <v>46296</v>
          </cell>
        </row>
        <row r="25">
          <cell r="F25" t="str">
            <v>מכונה 3 - 4 צירים</v>
          </cell>
        </row>
        <row r="26">
          <cell r="B26" t="str">
            <v>מקט</v>
          </cell>
          <cell r="C26" t="str">
            <v>מס'מטוס/מקט אבא</v>
          </cell>
          <cell r="D26" t="str">
            <v>הערות</v>
          </cell>
          <cell r="E26" t="str">
            <v>תמונה</v>
          </cell>
          <cell r="F26" t="str">
            <v>כמות</v>
          </cell>
          <cell r="G26" t="str">
            <v>סטאטוס חו"ג</v>
          </cell>
          <cell r="H26" t="str">
            <v>תאריך התחלה</v>
          </cell>
        </row>
        <row r="27">
          <cell r="B27" t="str">
            <v>30A2520106-001</v>
          </cell>
          <cell r="C27" t="str">
            <v>טכנולוגיות</v>
          </cell>
          <cell r="F27">
            <v>37</v>
          </cell>
          <cell r="G27" t="str">
            <v>חזר מטיפול טרמי -הועבר לייצור</v>
          </cell>
          <cell r="H27">
            <v>46250</v>
          </cell>
        </row>
        <row r="28">
          <cell r="B28" t="str">
            <v>25G3580155-501</v>
          </cell>
          <cell r="C28">
            <v>309</v>
          </cell>
          <cell r="D28" t="str">
            <v>הולך להרבה מקטים</v>
          </cell>
          <cell r="F28">
            <v>48</v>
          </cell>
          <cell r="G28" t="str">
            <v>חו"ג הגיע ועבר לייצור</v>
          </cell>
          <cell r="H28">
            <v>46259</v>
          </cell>
        </row>
        <row r="29">
          <cell r="B29" t="str">
            <v>28803-000-00</v>
          </cell>
          <cell r="C29" t="str">
            <v>טכנולוגיות</v>
          </cell>
          <cell r="F29">
            <v>30</v>
          </cell>
          <cell r="G29" t="str">
            <v>יש לתכנת פריט חדש</v>
          </cell>
          <cell r="H29">
            <v>46261</v>
          </cell>
        </row>
        <row r="30">
          <cell r="B30" t="str">
            <v>30P410185501-001‏</v>
          </cell>
          <cell r="D30" t="str">
            <v>לבדוק מלאי -יש מלאי במחסן</v>
          </cell>
          <cell r="F30">
            <v>10</v>
          </cell>
          <cell r="G30" t="str">
            <v>להזמין חו"ג-פלסטיק</v>
          </cell>
          <cell r="H30">
            <v>46291</v>
          </cell>
        </row>
        <row r="31">
          <cell r="B31" t="str">
            <v>TNK2104510-001</v>
          </cell>
          <cell r="C31" t="str">
            <v>LAHAV</v>
          </cell>
          <cell r="F31">
            <v>75</v>
          </cell>
          <cell r="G31" t="str">
            <v>ממתין ליציקות מלהב</v>
          </cell>
          <cell r="H31">
            <v>46265</v>
          </cell>
        </row>
        <row r="32">
          <cell r="B32" t="str">
            <v>PAL3800014-001</v>
          </cell>
          <cell r="C32" t="str">
            <v>יתרה</v>
          </cell>
          <cell r="D32" t="str">
            <v>PAL3800019-501</v>
          </cell>
          <cell r="F32">
            <v>3</v>
          </cell>
          <cell r="H32">
            <v>46272</v>
          </cell>
        </row>
        <row r="33">
          <cell r="B33" t="str">
            <v>PAL3800022-001</v>
          </cell>
          <cell r="C33" t="str">
            <v>יתרה</v>
          </cell>
          <cell r="D33" t="str">
            <v>PAL3800018-501</v>
          </cell>
          <cell r="F33">
            <v>3</v>
          </cell>
          <cell r="H33">
            <v>46275</v>
          </cell>
        </row>
        <row r="34">
          <cell r="B34" t="str">
            <v>3451-0000-006</v>
          </cell>
          <cell r="F34">
            <v>4</v>
          </cell>
          <cell r="H34">
            <v>46278</v>
          </cell>
        </row>
        <row r="35">
          <cell r="B35" t="str">
            <v>30A2520117-001</v>
          </cell>
          <cell r="C35" t="str">
            <v>טכנולוגיות</v>
          </cell>
          <cell r="D35" t="str">
            <v>2 יח למטוס</v>
          </cell>
          <cell r="F35">
            <v>3</v>
          </cell>
          <cell r="H35">
            <v>46281</v>
          </cell>
        </row>
        <row r="36">
          <cell r="B36" t="str">
            <v>30A2520117-001</v>
          </cell>
          <cell r="C36" t="str">
            <v>טכנולוגיות</v>
          </cell>
          <cell r="D36" t="str">
            <v>2 יח למטוס</v>
          </cell>
          <cell r="F36">
            <v>2</v>
          </cell>
          <cell r="H36">
            <v>46284</v>
          </cell>
        </row>
        <row r="37">
          <cell r="F37" t="str">
            <v>מכונה 4 - 3 צירים -MAXIMART</v>
          </cell>
        </row>
        <row r="38">
          <cell r="B38" t="str">
            <v>מקט</v>
          </cell>
          <cell r="C38" t="str">
            <v>מס'מטוס</v>
          </cell>
          <cell r="D38" t="str">
            <v>מקט אבא/הערות</v>
          </cell>
          <cell r="E38" t="str">
            <v>תמונה</v>
          </cell>
          <cell r="F38" t="str">
            <v>כמות</v>
          </cell>
          <cell r="G38" t="str">
            <v>סטאטוס חו"ג</v>
          </cell>
          <cell r="H38" t="str">
            <v>תאריך התחלה</v>
          </cell>
        </row>
        <row r="39">
          <cell r="B39" t="str">
            <v>30P410133102-001</v>
          </cell>
          <cell r="C39">
            <v>3017</v>
          </cell>
          <cell r="D39" t="str">
            <v>30P410133002-501</v>
          </cell>
          <cell r="F39">
            <v>31</v>
          </cell>
          <cell r="G39" t="str">
            <v>חו"ג הגיע ונמסר לייצור</v>
          </cell>
          <cell r="H39">
            <v>46250</v>
          </cell>
        </row>
        <row r="40">
          <cell r="B40" t="str">
            <v>30P410126102-001</v>
          </cell>
          <cell r="C40">
            <v>3015</v>
          </cell>
          <cell r="D40" t="str">
            <v>30P410126002-501</v>
          </cell>
          <cell r="F40">
            <v>34</v>
          </cell>
          <cell r="G40" t="str">
            <v>חו"ג הגיע ונמסר לייצור</v>
          </cell>
          <cell r="H40">
            <v>46260</v>
          </cell>
        </row>
        <row r="41">
          <cell r="B41" t="str">
            <v>30P410136100-001</v>
          </cell>
          <cell r="C41">
            <v>3019</v>
          </cell>
          <cell r="D41" t="str">
            <v>30P410136000-501</v>
          </cell>
          <cell r="F41">
            <v>25</v>
          </cell>
          <cell r="G41" t="str">
            <v>חו"ג הגיע ב28/07</v>
          </cell>
          <cell r="H41">
            <v>46268</v>
          </cell>
        </row>
        <row r="42">
          <cell r="B42" t="str">
            <v>30P450155100-002</v>
          </cell>
          <cell r="C42">
            <v>3017</v>
          </cell>
          <cell r="D42" t="str">
            <v>30P450155000-502</v>
          </cell>
          <cell r="F42">
            <v>40</v>
          </cell>
          <cell r="G42" t="str">
            <v>להזמין ח"ג</v>
          </cell>
          <cell r="H42">
            <v>46277</v>
          </cell>
        </row>
        <row r="43">
          <cell r="B43" t="str">
            <v>30P450155100-001</v>
          </cell>
          <cell r="C43">
            <v>3023</v>
          </cell>
          <cell r="D43" t="str">
            <v>30P450155000-501</v>
          </cell>
          <cell r="F43">
            <v>38</v>
          </cell>
          <cell r="G43" t="str">
            <v>להזמין ח"ג</v>
          </cell>
          <cell r="H43">
            <v>46289</v>
          </cell>
        </row>
        <row r="44">
          <cell r="B44" t="str">
            <v>30P410128102-001</v>
          </cell>
          <cell r="D44" t="str">
            <v>30P410128002-501</v>
          </cell>
          <cell r="F44">
            <v>28</v>
          </cell>
          <cell r="G44" t="str">
            <v>להזמין ח"ג</v>
          </cell>
          <cell r="H44">
            <v>46301</v>
          </cell>
        </row>
        <row r="45">
          <cell r="B45" t="str">
            <v>30P283331102-001</v>
          </cell>
          <cell r="C45">
            <v>3017</v>
          </cell>
          <cell r="D45" t="str">
            <v>הזמנות חדשות</v>
          </cell>
          <cell r="F45">
            <v>26</v>
          </cell>
          <cell r="G45" t="str">
            <v>להזמין ח"ג</v>
          </cell>
          <cell r="H45">
            <v>46311</v>
          </cell>
        </row>
        <row r="46">
          <cell r="B46" t="str">
            <v>30P410036700-001</v>
          </cell>
          <cell r="C46">
            <v>3032</v>
          </cell>
          <cell r="F46">
            <v>12</v>
          </cell>
          <cell r="G46" t="str">
            <v>להזמין חו"ג</v>
          </cell>
          <cell r="H46">
            <v>46321</v>
          </cell>
        </row>
        <row r="47">
          <cell r="F47" t="str">
            <v>MAZAK 5 -  צירים5</v>
          </cell>
        </row>
        <row r="48">
          <cell r="B48" t="str">
            <v>מקט</v>
          </cell>
          <cell r="C48" t="str">
            <v>מס'מטוס/מקט אבא</v>
          </cell>
          <cell r="D48" t="str">
            <v>הערות</v>
          </cell>
          <cell r="E48" t="str">
            <v>תמונה</v>
          </cell>
          <cell r="F48" t="str">
            <v>כמות</v>
          </cell>
          <cell r="G48" t="str">
            <v>סטאטוס חו"ג</v>
          </cell>
          <cell r="H48" t="str">
            <v>תאריך התחלה</v>
          </cell>
        </row>
        <row r="49">
          <cell r="B49" t="str">
            <v>30P460162100-001</v>
          </cell>
          <cell r="C49">
            <v>2342</v>
          </cell>
          <cell r="D49" t="str">
            <v>30P460162000-501</v>
          </cell>
          <cell r="F49">
            <v>30</v>
          </cell>
          <cell r="G49" t="str">
            <v xml:space="preserve">חו"ג הגיע - </v>
          </cell>
          <cell r="H49">
            <v>46264</v>
          </cell>
        </row>
        <row r="50">
          <cell r="B50" t="str">
            <v>30P460162300-001</v>
          </cell>
          <cell r="C50">
            <v>2342</v>
          </cell>
          <cell r="D50" t="str">
            <v>30P460162000-501</v>
          </cell>
          <cell r="F50">
            <v>20</v>
          </cell>
          <cell r="G50" t="str">
            <v>חו"ג הגיע - (10 יח בוצעו נותר20)</v>
          </cell>
          <cell r="H50">
            <v>46261</v>
          </cell>
        </row>
        <row r="51">
          <cell r="B51" t="str">
            <v>30P460162200-001</v>
          </cell>
          <cell r="C51">
            <v>2342</v>
          </cell>
          <cell r="D51" t="str">
            <v>30P460162000-501</v>
          </cell>
          <cell r="F51">
            <v>20</v>
          </cell>
          <cell r="G51" t="str">
            <v>חו"ג הגיע - (10 יח בוצעו נותר20)</v>
          </cell>
          <cell r="H51">
            <v>46264</v>
          </cell>
        </row>
        <row r="52">
          <cell r="B52" t="str">
            <v>30P460168000-502</v>
          </cell>
          <cell r="C52">
            <v>3006</v>
          </cell>
          <cell r="D52" t="str">
            <v>שמאל</v>
          </cell>
          <cell r="F52">
            <v>31</v>
          </cell>
          <cell r="G52" t="str">
            <v>חו"ג נימצא במחסן לאחר פעולת הכנה</v>
          </cell>
          <cell r="H52">
            <v>46268</v>
          </cell>
        </row>
        <row r="53">
          <cell r="B53" t="str">
            <v>TNK1105650-012</v>
          </cell>
          <cell r="C53" t="str">
            <v>LAHAV</v>
          </cell>
          <cell r="F53">
            <v>13</v>
          </cell>
          <cell r="G53" t="str">
            <v>יש חו"ג ל12 יח במחסן</v>
          </cell>
          <cell r="H53">
            <v>46274</v>
          </cell>
        </row>
        <row r="54">
          <cell r="B54" t="str">
            <v>30P450173100-001</v>
          </cell>
          <cell r="C54">
            <v>3012</v>
          </cell>
          <cell r="D54" t="str">
            <v>30P450173001-501</v>
          </cell>
          <cell r="F54">
            <v>8</v>
          </cell>
          <cell r="G54" t="str">
            <v>נשאר חו"ג במחסן</v>
          </cell>
          <cell r="H54">
            <v>46277</v>
          </cell>
        </row>
        <row r="55">
          <cell r="B55" t="str">
            <v>30P450173200-001</v>
          </cell>
          <cell r="C55">
            <v>3015</v>
          </cell>
          <cell r="D55" t="str">
            <v>30P450173001-502</v>
          </cell>
          <cell r="F55">
            <v>10</v>
          </cell>
          <cell r="G55" t="str">
            <v>נשאר חו"ג במחסן</v>
          </cell>
          <cell r="H55">
            <v>46283</v>
          </cell>
        </row>
        <row r="56">
          <cell r="B56" t="str">
            <v>30P410173701-001</v>
          </cell>
          <cell r="C56">
            <v>3015</v>
          </cell>
          <cell r="D56" t="str">
            <v>30P410178702-501</v>
          </cell>
          <cell r="F56">
            <v>31</v>
          </cell>
          <cell r="H56">
            <v>46289</v>
          </cell>
        </row>
        <row r="57">
          <cell r="B57" t="str">
            <v>30P410173800-001</v>
          </cell>
          <cell r="C57">
            <v>3015</v>
          </cell>
          <cell r="D57" t="str">
            <v>30P410178702-501</v>
          </cell>
          <cell r="F57">
            <v>31</v>
          </cell>
          <cell r="H57">
            <v>46295</v>
          </cell>
        </row>
        <row r="58">
          <cell r="B58" t="str">
            <v>TNK1305650-006</v>
          </cell>
          <cell r="C58" t="str">
            <v>TNK</v>
          </cell>
          <cell r="F58">
            <v>13</v>
          </cell>
          <cell r="H58">
            <v>46301</v>
          </cell>
        </row>
        <row r="59">
          <cell r="B59" t="str">
            <v>TNK1305650-004</v>
          </cell>
          <cell r="C59" t="str">
            <v>TNK</v>
          </cell>
          <cell r="F59">
            <v>12</v>
          </cell>
          <cell r="H59">
            <v>46304</v>
          </cell>
        </row>
        <row r="60">
          <cell r="B60" t="str">
            <v>TNK1305650-003</v>
          </cell>
          <cell r="C60" t="str">
            <v>TNK</v>
          </cell>
          <cell r="F60">
            <v>11</v>
          </cell>
          <cell r="H60">
            <v>46307</v>
          </cell>
        </row>
        <row r="61">
          <cell r="B61" t="str">
            <v>KTR1311212-001</v>
          </cell>
          <cell r="C61" t="str">
            <v>LAHAV</v>
          </cell>
          <cell r="F61">
            <v>23</v>
          </cell>
          <cell r="G61" t="str">
            <v>יש חו"ג במחסן -עבור יתרות שנת 2026/2027</v>
          </cell>
          <cell r="H61">
            <v>46310</v>
          </cell>
        </row>
        <row r="62">
          <cell r="B62" t="str">
            <v>30P450175700-001</v>
          </cell>
          <cell r="C62">
            <v>3023</v>
          </cell>
          <cell r="D62" t="str">
            <v>30P450155000-501</v>
          </cell>
          <cell r="F62">
            <v>25</v>
          </cell>
          <cell r="G62" t="str">
            <v>להזמין חו"ג</v>
          </cell>
          <cell r="H62">
            <v>46315</v>
          </cell>
        </row>
        <row r="63">
          <cell r="B63" t="str">
            <v>30P450175700-002</v>
          </cell>
          <cell r="C63">
            <v>3017</v>
          </cell>
          <cell r="D63" t="str">
            <v>30P450155000-502</v>
          </cell>
          <cell r="F63">
            <v>25</v>
          </cell>
          <cell r="G63" t="str">
            <v>להזמין חו"ג</v>
          </cell>
          <cell r="H63">
            <v>46317</v>
          </cell>
        </row>
        <row r="64">
          <cell r="B64" t="str">
            <v>30P450044400-001</v>
          </cell>
          <cell r="C64">
            <v>3016</v>
          </cell>
          <cell r="F64">
            <v>27</v>
          </cell>
          <cell r="G64" t="str">
            <v>חו"ג הגיע ותיק נמסר לייצור</v>
          </cell>
          <cell r="H64">
            <v>46322</v>
          </cell>
        </row>
        <row r="65">
          <cell r="B65" t="str">
            <v>30P450044400-002</v>
          </cell>
          <cell r="C65">
            <v>3024</v>
          </cell>
          <cell r="E65" t="e">
            <v>#VALUE!</v>
          </cell>
          <cell r="F65">
            <v>28</v>
          </cell>
          <cell r="G65" t="str">
            <v>חו"ג הגיע ותיק נמסר לייצור</v>
          </cell>
          <cell r="H65">
            <v>46327</v>
          </cell>
        </row>
        <row r="66">
          <cell r="B66" t="str">
            <v>30P531125300-001</v>
          </cell>
          <cell r="C66">
            <v>3020</v>
          </cell>
          <cell r="D66" t="str">
            <v>30P531125300-501</v>
          </cell>
          <cell r="F66">
            <v>30</v>
          </cell>
          <cell r="G66" t="str">
            <v>חו"ג הגיע,הועבר לייצור -יש לתכנת</v>
          </cell>
          <cell r="H66">
            <v>46332</v>
          </cell>
        </row>
        <row r="67">
          <cell r="B67" t="str">
            <v>30P310037200-001</v>
          </cell>
          <cell r="C67">
            <v>3024</v>
          </cell>
          <cell r="F67">
            <v>32</v>
          </cell>
          <cell r="G67" t="str">
            <v>חו"ג הגיע נמסר לייצור -יש לתכנת</v>
          </cell>
          <cell r="H67">
            <v>46337</v>
          </cell>
        </row>
        <row r="68">
          <cell r="B68" t="str">
            <v>30P310037300-001</v>
          </cell>
          <cell r="C68">
            <v>3023</v>
          </cell>
          <cell r="D68" t="str">
            <v>הזמנות חדשות</v>
          </cell>
          <cell r="F68">
            <v>28</v>
          </cell>
          <cell r="G68" t="str">
            <v>חו"ג הגיע נמסר לייצור -יש לתכנת</v>
          </cell>
          <cell r="H68">
            <v>46343</v>
          </cell>
        </row>
        <row r="69">
          <cell r="B69" t="str">
            <v>TNK1105650-007</v>
          </cell>
          <cell r="C69" t="str">
            <v>LAHAV</v>
          </cell>
          <cell r="F69">
            <v>30</v>
          </cell>
          <cell r="H69">
            <v>46348</v>
          </cell>
        </row>
        <row r="70">
          <cell r="B70" t="str">
            <v>30P531149000-001</v>
          </cell>
          <cell r="C70">
            <v>3018</v>
          </cell>
          <cell r="D70" t="str">
            <v>30P531149000-501</v>
          </cell>
          <cell r="F70">
            <v>25</v>
          </cell>
          <cell r="G70" t="str">
            <v>חו"ג הגיע -יש לתכנת</v>
          </cell>
          <cell r="H70">
            <v>46351</v>
          </cell>
        </row>
        <row r="71">
          <cell r="B71" t="str">
            <v>30P430113401-501</v>
          </cell>
          <cell r="C71">
            <v>3017</v>
          </cell>
          <cell r="D71" t="str">
            <v>שמאל</v>
          </cell>
          <cell r="F71">
            <v>26</v>
          </cell>
          <cell r="H71">
            <v>46357</v>
          </cell>
        </row>
        <row r="72">
          <cell r="B72" t="str">
            <v>30P430113400-501</v>
          </cell>
          <cell r="C72">
            <v>3024</v>
          </cell>
          <cell r="D72" t="str">
            <v>ימין</v>
          </cell>
          <cell r="F72">
            <v>12</v>
          </cell>
          <cell r="G72" t="str">
            <v xml:space="preserve">                                                                                              </v>
          </cell>
          <cell r="H72">
            <v>46360</v>
          </cell>
        </row>
        <row r="73">
          <cell r="B73" t="str">
            <v>30P450171401-001</v>
          </cell>
          <cell r="C73">
            <v>3019</v>
          </cell>
          <cell r="D73" t="str">
            <v>הולך 3 יח למטוס אחת -להוציא ליוריני?</v>
          </cell>
          <cell r="F73">
            <v>111</v>
          </cell>
          <cell r="G73" t="str">
            <v>להזמין חו"ג</v>
          </cell>
          <cell r="H73">
            <v>46363</v>
          </cell>
        </row>
        <row r="74">
          <cell r="B74" t="str">
            <v>30P420170000-001</v>
          </cell>
          <cell r="C74">
            <v>3014</v>
          </cell>
          <cell r="F74">
            <v>107</v>
          </cell>
          <cell r="G74" t="str">
            <v>חו"ג הגיע</v>
          </cell>
          <cell r="H74">
            <v>46370</v>
          </cell>
        </row>
        <row r="75">
          <cell r="B75" t="str">
            <v>30P410173500-001</v>
          </cell>
          <cell r="C75">
            <v>3017</v>
          </cell>
          <cell r="D75" t="str">
            <v>‎30P410178501-501‏</v>
          </cell>
          <cell r="F75">
            <v>34</v>
          </cell>
          <cell r="G75" t="str">
            <v>להזמין חו"ג</v>
          </cell>
          <cell r="H75">
            <v>46376</v>
          </cell>
        </row>
        <row r="76">
          <cell r="B76" t="str">
            <v>30P410173601-001</v>
          </cell>
          <cell r="C76">
            <v>3017</v>
          </cell>
          <cell r="D76" t="str">
            <v>‎30P410178501-501‏</v>
          </cell>
          <cell r="F76">
            <v>34</v>
          </cell>
          <cell r="G76" t="str">
            <v>להזמין חו"ג</v>
          </cell>
          <cell r="H76">
            <v>46380</v>
          </cell>
        </row>
        <row r="77">
          <cell r="B77" t="str">
            <v>30P430211200-501</v>
          </cell>
          <cell r="C77">
            <v>3018</v>
          </cell>
          <cell r="F77">
            <v>28</v>
          </cell>
          <cell r="G77" t="str">
            <v>כולל הזמנות חדשות</v>
          </cell>
          <cell r="H77">
            <v>46384</v>
          </cell>
        </row>
        <row r="78">
          <cell r="B78" t="str">
            <v>PAL3800017-001</v>
          </cell>
          <cell r="C78" t="str">
            <v>יתרה</v>
          </cell>
          <cell r="D78" t="str">
            <v>PAL3800019-501</v>
          </cell>
          <cell r="F78">
            <v>3</v>
          </cell>
          <cell r="H78">
            <v>46388</v>
          </cell>
        </row>
        <row r="79">
          <cell r="B79" t="str">
            <v>PAL3800015-001</v>
          </cell>
          <cell r="C79" t="str">
            <v>יתרה</v>
          </cell>
          <cell r="D79" t="str">
            <v>PAL3800018-501</v>
          </cell>
          <cell r="F79">
            <v>8</v>
          </cell>
          <cell r="H79">
            <v>46392</v>
          </cell>
        </row>
        <row r="80">
          <cell r="B80" t="str">
            <v>30P141218300-001</v>
          </cell>
          <cell r="C80">
            <v>3028</v>
          </cell>
          <cell r="F80">
            <v>23</v>
          </cell>
          <cell r="H80">
            <v>46396</v>
          </cell>
        </row>
        <row r="81">
          <cell r="B81" t="str">
            <v>30P410176500-001‏</v>
          </cell>
          <cell r="C81">
            <v>3032</v>
          </cell>
          <cell r="D81" t="str">
            <v>הולך 3 יח למטוס אחת כולל הזמנות חדשות</v>
          </cell>
          <cell r="F81">
            <v>64</v>
          </cell>
          <cell r="H81">
            <v>46401</v>
          </cell>
        </row>
        <row r="82">
          <cell r="B82" t="str">
            <v>30P450039500-001</v>
          </cell>
          <cell r="C82">
            <v>3017</v>
          </cell>
          <cell r="F82">
            <v>353</v>
          </cell>
          <cell r="H82">
            <v>46408</v>
          </cell>
        </row>
        <row r="83">
          <cell r="B83" t="str">
            <v>30P141218800-002</v>
          </cell>
          <cell r="C83">
            <v>3025</v>
          </cell>
          <cell r="D83" t="str">
            <v>שמאל</v>
          </cell>
          <cell r="F83">
            <v>23</v>
          </cell>
          <cell r="H83">
            <v>46418</v>
          </cell>
        </row>
        <row r="84">
          <cell r="B84" t="str">
            <v>30P141218800-001</v>
          </cell>
          <cell r="C84">
            <v>3026</v>
          </cell>
          <cell r="D84" t="str">
            <v>ימין</v>
          </cell>
          <cell r="F84">
            <v>23</v>
          </cell>
          <cell r="H84">
            <v>46421</v>
          </cell>
        </row>
        <row r="85">
          <cell r="B85" t="str">
            <v>4AS5310148-001</v>
          </cell>
          <cell r="C85">
            <v>3024</v>
          </cell>
          <cell r="D85" t="str">
            <v>4AS5310148-501</v>
          </cell>
          <cell r="F85">
            <v>24</v>
          </cell>
          <cell r="H85">
            <v>46425</v>
          </cell>
        </row>
        <row r="86">
          <cell r="B86" t="str">
            <v>4AS5310138-001</v>
          </cell>
          <cell r="C86">
            <v>3024</v>
          </cell>
          <cell r="D86" t="str">
            <v>4AS5310138-501</v>
          </cell>
          <cell r="F86">
            <v>24</v>
          </cell>
          <cell r="H86">
            <v>46431</v>
          </cell>
        </row>
        <row r="87">
          <cell r="B87" t="str">
            <v>30P533121000-501</v>
          </cell>
          <cell r="C87">
            <v>3022</v>
          </cell>
          <cell r="F87">
            <v>25</v>
          </cell>
          <cell r="G87" t="str">
            <v>חו"ג הגיע -עבר לייצור -צפי הגעת קשיח -30/11/26</v>
          </cell>
          <cell r="H87">
            <v>46437</v>
          </cell>
        </row>
        <row r="88">
          <cell r="B88" t="str">
            <v>30P533121000-502</v>
          </cell>
          <cell r="C88">
            <v>3023</v>
          </cell>
          <cell r="F88">
            <v>25</v>
          </cell>
          <cell r="G88" t="str">
            <v>חו"ג הגיע -עבר לייצור -צפי הגעת קשיח -30/11/26</v>
          </cell>
          <cell r="H88">
            <v>46443</v>
          </cell>
        </row>
        <row r="89">
          <cell r="F89" t="str">
            <v>MAZAK 6 - 5 צירים</v>
          </cell>
        </row>
        <row r="90">
          <cell r="B90" t="str">
            <v>מקט</v>
          </cell>
          <cell r="C90" t="str">
            <v>מס'מטוס/מקט אבא</v>
          </cell>
          <cell r="D90" t="str">
            <v>הערות</v>
          </cell>
          <cell r="E90" t="str">
            <v>תמונה</v>
          </cell>
          <cell r="F90" t="str">
            <v>כמות</v>
          </cell>
          <cell r="G90" t="str">
            <v>סטאטוס חו"ג</v>
          </cell>
          <cell r="H90" t="str">
            <v>תאריך התחלה</v>
          </cell>
        </row>
        <row r="91">
          <cell r="B91" t="str">
            <v>30P450172100-001</v>
          </cell>
          <cell r="C91">
            <v>3006</v>
          </cell>
          <cell r="D91" t="str">
            <v>30P450171900-501</v>
          </cell>
          <cell r="F91">
            <v>18</v>
          </cell>
          <cell r="G91" t="str">
            <v>יש חומר</v>
          </cell>
          <cell r="H91">
            <v>46273</v>
          </cell>
        </row>
        <row r="92">
          <cell r="B92" t="str">
            <v>30P410173900-001</v>
          </cell>
          <cell r="C92">
            <v>3005</v>
          </cell>
          <cell r="D92" t="str">
            <v>30P410178901-501</v>
          </cell>
          <cell r="F92">
            <v>10</v>
          </cell>
          <cell r="G92" t="str">
            <v>יש 10 יח במחסן אחרי פעולה 1</v>
          </cell>
          <cell r="H92">
            <v>46279</v>
          </cell>
        </row>
        <row r="93">
          <cell r="B93" t="str">
            <v>30P410174001-001</v>
          </cell>
          <cell r="C93">
            <v>3005</v>
          </cell>
          <cell r="D93" t="str">
            <v>30P410178901-501</v>
          </cell>
          <cell r="F93">
            <v>10</v>
          </cell>
          <cell r="G93" t="str">
            <v>יש 10 יח במחסן אחרי פעולה 1</v>
          </cell>
          <cell r="H93">
            <v>46285</v>
          </cell>
        </row>
        <row r="94">
          <cell r="B94" t="str">
            <v>M1127-1009-502</v>
          </cell>
          <cell r="F94">
            <v>22</v>
          </cell>
          <cell r="G94" t="str">
            <v xml:space="preserve">חו"ג הגיע </v>
          </cell>
          <cell r="H94">
            <v>46290</v>
          </cell>
        </row>
        <row r="95">
          <cell r="B95" t="str">
            <v>M1127-1009-501</v>
          </cell>
          <cell r="F95">
            <v>11</v>
          </cell>
          <cell r="G95" t="str">
            <v>בעבודה</v>
          </cell>
          <cell r="H95">
            <v>46294</v>
          </cell>
        </row>
        <row r="96">
          <cell r="B96" t="str">
            <v>30P450173200-001</v>
          </cell>
          <cell r="C96">
            <v>3009</v>
          </cell>
          <cell r="D96" t="str">
            <v>הזמנות חדשות</v>
          </cell>
          <cell r="F96">
            <v>15</v>
          </cell>
          <cell r="G96" t="str">
            <v>חו"ג הגיע ב28/07 ותיק הועבר לייצור</v>
          </cell>
          <cell r="H96">
            <v>46298</v>
          </cell>
        </row>
        <row r="97">
          <cell r="B97" t="str">
            <v>‎30P450173200-002‏</v>
          </cell>
          <cell r="C97">
            <v>3025</v>
          </cell>
          <cell r="D97" t="str">
            <v>הזמנות חדשות</v>
          </cell>
          <cell r="F97">
            <v>15</v>
          </cell>
          <cell r="G97" t="str">
            <v>חו"ג הגיע ב28/07 ותיק הועבר לייצור</v>
          </cell>
          <cell r="H97">
            <v>46303</v>
          </cell>
        </row>
        <row r="98">
          <cell r="B98" t="str">
            <v>16B3803-10</v>
          </cell>
          <cell r="C98" t="str">
            <v>F-16</v>
          </cell>
          <cell r="F98">
            <v>19</v>
          </cell>
          <cell r="H98">
            <v>46308</v>
          </cell>
        </row>
        <row r="99">
          <cell r="B99" t="str">
            <v>16B3803-9</v>
          </cell>
          <cell r="C99" t="str">
            <v>F-16</v>
          </cell>
          <cell r="F99">
            <v>38</v>
          </cell>
          <cell r="H99">
            <v>46314</v>
          </cell>
        </row>
        <row r="100">
          <cell r="B100" t="str">
            <v>30P450175300-001</v>
          </cell>
          <cell r="C100">
            <v>3014</v>
          </cell>
          <cell r="D100" t="str">
            <v>הזמנות חדשות</v>
          </cell>
          <cell r="F100">
            <v>31</v>
          </cell>
          <cell r="G100" t="str">
            <v>חו"ג הגיע ב28/07</v>
          </cell>
          <cell r="H100">
            <v>46317</v>
          </cell>
        </row>
        <row r="101">
          <cell r="B101" t="str">
            <v>30P450175300-002</v>
          </cell>
          <cell r="C101">
            <v>3019</v>
          </cell>
          <cell r="F101">
            <v>27</v>
          </cell>
          <cell r="G101" t="str">
            <v>חו"ג הגיע ב28/07</v>
          </cell>
          <cell r="H101">
            <v>46323</v>
          </cell>
        </row>
        <row r="102">
          <cell r="B102" t="str">
            <v>30P450024100-501</v>
          </cell>
          <cell r="C102">
            <v>3015</v>
          </cell>
          <cell r="D102" t="str">
            <v>הזמנות חדשות</v>
          </cell>
          <cell r="F102">
            <v>30</v>
          </cell>
          <cell r="H102">
            <v>46329</v>
          </cell>
        </row>
        <row r="103">
          <cell r="B103" t="str">
            <v>30P450024100-502</v>
          </cell>
          <cell r="C103">
            <v>3017</v>
          </cell>
          <cell r="D103" t="str">
            <v>הזמנות חדשות</v>
          </cell>
          <cell r="F103">
            <v>30</v>
          </cell>
          <cell r="H103">
            <v>46335</v>
          </cell>
        </row>
        <row r="104">
          <cell r="B104" t="str">
            <v>30P582601000-001</v>
          </cell>
          <cell r="C104">
            <v>3016</v>
          </cell>
          <cell r="D104" t="str">
            <v>30P582601000-501</v>
          </cell>
          <cell r="F104">
            <v>45</v>
          </cell>
          <cell r="H104">
            <v>46341</v>
          </cell>
        </row>
        <row r="105">
          <cell r="B105" t="str">
            <v>30P420166201-001</v>
          </cell>
          <cell r="C105">
            <v>3016</v>
          </cell>
          <cell r="D105" t="str">
            <v>30P420166001-501</v>
          </cell>
          <cell r="F105">
            <v>20</v>
          </cell>
          <cell r="H105">
            <v>46348</v>
          </cell>
        </row>
        <row r="106">
          <cell r="B106" t="str">
            <v>30P420166301-001</v>
          </cell>
          <cell r="C106">
            <v>3016</v>
          </cell>
          <cell r="D106" t="str">
            <v>30P420166001-501</v>
          </cell>
          <cell r="F106">
            <v>20</v>
          </cell>
          <cell r="H106">
            <v>46352</v>
          </cell>
        </row>
        <row r="107">
          <cell r="B107" t="str">
            <v>30P420166101-001</v>
          </cell>
          <cell r="C107">
            <v>3016</v>
          </cell>
          <cell r="D107" t="str">
            <v>30P420166001-501</v>
          </cell>
          <cell r="F107">
            <v>20</v>
          </cell>
          <cell r="H107">
            <v>46356</v>
          </cell>
        </row>
        <row r="108">
          <cell r="B108" t="str">
            <v>30P450171600-001</v>
          </cell>
          <cell r="C108">
            <v>3018</v>
          </cell>
          <cell r="F108">
            <v>169</v>
          </cell>
          <cell r="H108">
            <v>46360</v>
          </cell>
        </row>
        <row r="109">
          <cell r="B109" t="str">
            <v>30P410022300-502</v>
          </cell>
          <cell r="C109">
            <v>3018</v>
          </cell>
          <cell r="D109" t="str">
            <v xml:space="preserve">שמאל </v>
          </cell>
          <cell r="F109">
            <v>130</v>
          </cell>
          <cell r="G109" t="str">
            <v>יש לתכנת</v>
          </cell>
          <cell r="H109">
            <v>46368</v>
          </cell>
        </row>
        <row r="110">
          <cell r="B110" t="str">
            <v>30P410022300-501</v>
          </cell>
          <cell r="C110">
            <v>3023</v>
          </cell>
          <cell r="D110" t="str">
            <v>ימין</v>
          </cell>
          <cell r="F110">
            <v>130</v>
          </cell>
          <cell r="G110" t="str">
            <v>יש לתכנת</v>
          </cell>
          <cell r="H110">
            <v>46375</v>
          </cell>
        </row>
        <row r="111">
          <cell r="B111" t="str">
            <v>30P410022600-501</v>
          </cell>
          <cell r="C111">
            <v>3020</v>
          </cell>
          <cell r="D111" t="str">
            <v>הזמנות חדשות</v>
          </cell>
          <cell r="F111">
            <v>25</v>
          </cell>
          <cell r="H111">
            <v>46382</v>
          </cell>
        </row>
        <row r="112">
          <cell r="B112" t="str">
            <v>30P410022600-502</v>
          </cell>
          <cell r="C112">
            <v>3024</v>
          </cell>
          <cell r="D112" t="str">
            <v>הזמנות חדשות</v>
          </cell>
          <cell r="F112">
            <v>21</v>
          </cell>
          <cell r="H112">
            <v>46387</v>
          </cell>
        </row>
        <row r="113">
          <cell r="B113" t="str">
            <v>KTR1311348-002</v>
          </cell>
          <cell r="C113" t="str">
            <v>LAHAV</v>
          </cell>
          <cell r="D113" t="str">
            <v>יתרה 5 יח</v>
          </cell>
          <cell r="F113">
            <v>5</v>
          </cell>
          <cell r="H113">
            <v>46392</v>
          </cell>
        </row>
        <row r="114">
          <cell r="B114" t="str">
            <v>KTR1161130-501</v>
          </cell>
          <cell r="D114" t="str">
            <v>יתרה 2 יח</v>
          </cell>
          <cell r="F114">
            <v>2</v>
          </cell>
          <cell r="G114" t="str">
            <v>להזמין חו"ג</v>
          </cell>
          <cell r="H114">
            <v>46397</v>
          </cell>
        </row>
        <row r="115">
          <cell r="B115" t="str">
            <v>4AS6900001-001</v>
          </cell>
          <cell r="C115">
            <v>3025</v>
          </cell>
          <cell r="F115">
            <v>23</v>
          </cell>
          <cell r="G115" t="str">
            <v>להזמין חו"ג</v>
          </cell>
          <cell r="H115">
            <v>46401</v>
          </cell>
        </row>
        <row r="116">
          <cell r="B116" t="str">
            <v>30P420180100-001</v>
          </cell>
          <cell r="C116">
            <v>3017</v>
          </cell>
          <cell r="F116">
            <v>72</v>
          </cell>
          <cell r="G116" t="str">
            <v>בוצע תכנות שלב 1: 5X , שלב 2: 3X</v>
          </cell>
          <cell r="H116">
            <v>46406</v>
          </cell>
        </row>
        <row r="117">
          <cell r="B117" t="str">
            <v>30P420180200-001</v>
          </cell>
          <cell r="C117">
            <v>3020</v>
          </cell>
          <cell r="F117">
            <v>72</v>
          </cell>
          <cell r="G117" t="str">
            <v>בוצע תכנות שלב 1: 5X , שלב 2: 3X</v>
          </cell>
          <cell r="H117">
            <v>46413</v>
          </cell>
        </row>
        <row r="118">
          <cell r="B118" t="str">
            <v>30P141228400-001</v>
          </cell>
          <cell r="C118">
            <v>3021</v>
          </cell>
          <cell r="F118">
            <v>27</v>
          </cell>
          <cell r="G118" t="str">
            <v>בוצע תכנות שלב 1: 3X , שלב 2: 5X</v>
          </cell>
          <cell r="H118">
            <v>46420</v>
          </cell>
        </row>
        <row r="119">
          <cell r="B119" t="str">
            <v>30P355140600-001</v>
          </cell>
          <cell r="C119">
            <v>3024</v>
          </cell>
          <cell r="F119">
            <v>48</v>
          </cell>
          <cell r="G119" t="str">
            <v>חו"ג הגיע</v>
          </cell>
          <cell r="H119">
            <v>46427</v>
          </cell>
        </row>
        <row r="120">
          <cell r="B120" t="str">
            <v>30P450120100-001‏</v>
          </cell>
          <cell r="C120">
            <v>3019</v>
          </cell>
          <cell r="F120">
            <v>23</v>
          </cell>
          <cell r="H120">
            <v>46433</v>
          </cell>
        </row>
        <row r="121">
          <cell r="B121" t="str">
            <v>30P310029601-001</v>
          </cell>
          <cell r="C121">
            <v>3018</v>
          </cell>
          <cell r="D121" t="str">
            <v>הזמנות חדשות</v>
          </cell>
          <cell r="F121">
            <v>49</v>
          </cell>
          <cell r="G121" t="str">
            <v>חו"ג הגיע יש לתכנת</v>
          </cell>
          <cell r="H121">
            <v>46437</v>
          </cell>
        </row>
        <row r="122">
          <cell r="B122" t="str">
            <v>30P310029701-001</v>
          </cell>
          <cell r="C122">
            <v>3019</v>
          </cell>
          <cell r="D122" t="str">
            <v>הזמנות חדשות</v>
          </cell>
          <cell r="F122">
            <v>25</v>
          </cell>
          <cell r="G122" t="str">
            <v>חו"ג הגיע יש לתכנת</v>
          </cell>
          <cell r="H122">
            <v>46443</v>
          </cell>
        </row>
        <row r="123">
          <cell r="B123" t="str">
            <v>30P310029501-001</v>
          </cell>
          <cell r="C123" t="e">
            <v>#N/A</v>
          </cell>
          <cell r="D123" t="str">
            <v>הזמנות חדשות</v>
          </cell>
          <cell r="F123">
            <v>11</v>
          </cell>
          <cell r="G123" t="str">
            <v>חו"ג הגיע יש לתכנת</v>
          </cell>
          <cell r="H123">
            <v>46450</v>
          </cell>
        </row>
        <row r="124">
          <cell r="B124" t="str">
            <v>30P141219800-001</v>
          </cell>
          <cell r="C124">
            <v>3027</v>
          </cell>
          <cell r="F124">
            <v>21</v>
          </cell>
          <cell r="H124">
            <v>46455</v>
          </cell>
        </row>
        <row r="125">
          <cell r="F125" t="str">
            <v>DOOSAN 7 - 5צירים</v>
          </cell>
        </row>
        <row r="126">
          <cell r="B126" t="str">
            <v>מקט</v>
          </cell>
          <cell r="C126" t="str">
            <v>מס'מטוס/מקט אבא</v>
          </cell>
          <cell r="D126" t="str">
            <v>הערות</v>
          </cell>
          <cell r="E126" t="str">
            <v>תמונה</v>
          </cell>
          <cell r="F126" t="str">
            <v>כמות</v>
          </cell>
          <cell r="G126" t="str">
            <v>סטאטוס חו"ג</v>
          </cell>
          <cell r="H126" t="str">
            <v>תאריך התחלה</v>
          </cell>
        </row>
        <row r="127">
          <cell r="B127" t="str">
            <v>30P460162100-001</v>
          </cell>
          <cell r="C127">
            <v>2342</v>
          </cell>
          <cell r="D127" t="str">
            <v>30P460162000-501</v>
          </cell>
          <cell r="F127">
            <v>30</v>
          </cell>
          <cell r="G127" t="str">
            <v xml:space="preserve">חו"ג הגיע - </v>
          </cell>
          <cell r="H127">
            <v>46258</v>
          </cell>
        </row>
        <row r="128">
          <cell r="B128" t="str">
            <v>30P410173701-001</v>
          </cell>
          <cell r="C128">
            <v>3006</v>
          </cell>
          <cell r="D128" t="str">
            <v>30P410178702-501</v>
          </cell>
          <cell r="F128">
            <v>10</v>
          </cell>
          <cell r="G128" t="str">
            <v>יש חומר במחסן - חלק דחוף -ממתין להרכבה</v>
          </cell>
          <cell r="H128">
            <v>46261</v>
          </cell>
        </row>
        <row r="129">
          <cell r="B129" t="str">
            <v>30P450171100-001</v>
          </cell>
          <cell r="C129">
            <v>3006</v>
          </cell>
          <cell r="D129" t="str">
            <v>30P450171003-501</v>
          </cell>
          <cell r="F129" t="str">
            <v>10+25</v>
          </cell>
          <cell r="G129" t="str">
            <v>חו"ג הגיע -חלק דחוף</v>
          </cell>
          <cell r="H129">
            <v>46266</v>
          </cell>
        </row>
        <row r="130">
          <cell r="B130" t="str">
            <v>16W121-22</v>
          </cell>
          <cell r="C130" t="str">
            <v>F-16</v>
          </cell>
          <cell r="F130">
            <v>8</v>
          </cell>
          <cell r="G130" t="str">
            <v>יתרה -להזמין חומר</v>
          </cell>
          <cell r="H130">
            <v>46288</v>
          </cell>
        </row>
        <row r="131">
          <cell r="B131" t="str">
            <v>16W121-21</v>
          </cell>
          <cell r="C131" t="str">
            <v>F-16</v>
          </cell>
          <cell r="F131">
            <v>19</v>
          </cell>
          <cell r="G131" t="str">
            <v>יתרה -להזמין חומר</v>
          </cell>
          <cell r="H131">
            <v>46294</v>
          </cell>
        </row>
        <row r="132">
          <cell r="B132" t="str">
            <v>16W1120-13</v>
          </cell>
          <cell r="C132" t="str">
            <v>F-16</v>
          </cell>
          <cell r="D132" t="str">
            <v>סימון + גילוח</v>
          </cell>
          <cell r="F132">
            <v>7</v>
          </cell>
          <cell r="G132" t="str">
            <v>יתרה -להזמין חומר</v>
          </cell>
          <cell r="H132">
            <v>46301</v>
          </cell>
        </row>
        <row r="133">
          <cell r="B133" t="str">
            <v>16W1120-14</v>
          </cell>
          <cell r="D133" t="str">
            <v>יתרה</v>
          </cell>
          <cell r="F133">
            <v>3</v>
          </cell>
          <cell r="H133">
            <v>46306</v>
          </cell>
        </row>
        <row r="134">
          <cell r="B134" t="str">
            <v>30P410036600-001</v>
          </cell>
          <cell r="C134">
            <v>3017</v>
          </cell>
          <cell r="F134">
            <v>24</v>
          </cell>
          <cell r="G134" t="str">
            <v>להזמין חומר</v>
          </cell>
          <cell r="H134">
            <v>46310</v>
          </cell>
        </row>
        <row r="135">
          <cell r="B135" t="str">
            <v>30P410176600-001</v>
          </cell>
          <cell r="C135">
            <v>3014</v>
          </cell>
          <cell r="D135" t="str">
            <v>הולך 2 יח למטוס אחת</v>
          </cell>
          <cell r="F135">
            <v>45</v>
          </cell>
          <cell r="G135" t="str">
            <v>להזמין חומר</v>
          </cell>
          <cell r="H135">
            <v>46317</v>
          </cell>
        </row>
        <row r="136">
          <cell r="B136" t="str">
            <v>30P410131101-001</v>
          </cell>
          <cell r="C136">
            <v>3019</v>
          </cell>
          <cell r="D136" t="str">
            <v>הזמנות חדשות</v>
          </cell>
          <cell r="F136">
            <v>28</v>
          </cell>
          <cell r="G136" t="str">
            <v>חו"ג במחסן אחרי פעולה 1</v>
          </cell>
          <cell r="H136">
            <v>46327</v>
          </cell>
        </row>
        <row r="137">
          <cell r="B137" t="str">
            <v>30P315494800-001</v>
          </cell>
          <cell r="C137">
            <v>3019</v>
          </cell>
          <cell r="D137" t="str">
            <v>הזמנות חדשות</v>
          </cell>
          <cell r="F137">
            <v>36</v>
          </cell>
          <cell r="G137" t="str">
            <v>חו"ג הגיע יש לתכנת</v>
          </cell>
          <cell r="H137">
            <v>46336</v>
          </cell>
        </row>
        <row r="138">
          <cell r="B138" t="str">
            <v>30P315494800-002</v>
          </cell>
          <cell r="C138">
            <v>3024</v>
          </cell>
          <cell r="D138" t="str">
            <v>הזמנות חדשות</v>
          </cell>
          <cell r="F138">
            <v>36</v>
          </cell>
          <cell r="G138" t="str">
            <v>חו"ג הגיע יש לתכנת</v>
          </cell>
          <cell r="H138">
            <v>46341</v>
          </cell>
        </row>
        <row r="139">
          <cell r="B139" t="str">
            <v>30P410177300-501</v>
          </cell>
          <cell r="C139">
            <v>3017</v>
          </cell>
          <cell r="F139">
            <v>30</v>
          </cell>
          <cell r="G139" t="str">
            <v>להזמין חו"ג</v>
          </cell>
          <cell r="H139">
            <v>46346</v>
          </cell>
        </row>
        <row r="140">
          <cell r="B140" t="str">
            <v>‎30P410038900-502</v>
          </cell>
          <cell r="C140">
            <v>3016</v>
          </cell>
          <cell r="D140" t="str">
            <v>ימין</v>
          </cell>
          <cell r="F140">
            <v>28</v>
          </cell>
          <cell r="G140" t="str">
            <v>יש חו"ג במחסן  -15 יח (סה"כ 30 יח ל2 סוגים)</v>
          </cell>
          <cell r="H140">
            <v>46352</v>
          </cell>
        </row>
        <row r="141">
          <cell r="B141" t="str">
            <v>‎30P410038900-501‏</v>
          </cell>
          <cell r="C141">
            <v>3017</v>
          </cell>
          <cell r="D141" t="str">
            <v>שמאל</v>
          </cell>
          <cell r="F141">
            <v>31</v>
          </cell>
          <cell r="G141" t="str">
            <v>יש חו"ג במחסן  -15 יח</v>
          </cell>
          <cell r="H141">
            <v>46358</v>
          </cell>
        </row>
        <row r="142">
          <cell r="B142" t="str">
            <v>30P430211100-501</v>
          </cell>
          <cell r="C142">
            <v>3018</v>
          </cell>
          <cell r="F142">
            <v>30</v>
          </cell>
          <cell r="G142" t="str">
            <v>להזמין חומר</v>
          </cell>
          <cell r="H142">
            <v>46364</v>
          </cell>
        </row>
        <row r="143">
          <cell r="B143" t="str">
            <v>30P450155300-002</v>
          </cell>
          <cell r="C143">
            <v>3019</v>
          </cell>
          <cell r="F143">
            <v>25</v>
          </cell>
          <cell r="G143" t="str">
            <v>חומר מוכן אחרי הכנה ל5 צירים במחסן</v>
          </cell>
          <cell r="H143">
            <v>46370</v>
          </cell>
        </row>
        <row r="144">
          <cell r="B144" t="str">
            <v>30P450155300-001</v>
          </cell>
          <cell r="C144">
            <v>3019</v>
          </cell>
          <cell r="F144">
            <v>25</v>
          </cell>
          <cell r="G144" t="str">
            <v>חומר מוכן אחרי הכנה ל5 צירים במחסן</v>
          </cell>
          <cell r="H144">
            <v>46375</v>
          </cell>
        </row>
        <row r="145">
          <cell r="B145" t="str">
            <v>PAL1110240-001</v>
          </cell>
          <cell r="F145">
            <v>1</v>
          </cell>
          <cell r="H145">
            <v>46382</v>
          </cell>
        </row>
        <row r="146">
          <cell r="B146" t="str">
            <v>30P420169101-001</v>
          </cell>
          <cell r="C146">
            <v>3020</v>
          </cell>
          <cell r="D146" t="str">
            <v>30P420169101-501</v>
          </cell>
          <cell r="F146">
            <v>30</v>
          </cell>
          <cell r="G146" t="str">
            <v>בוצע תכנות שלב 1: בוצע , שלב 2: 5X, שלב 3: 5X</v>
          </cell>
          <cell r="H146">
            <v>46385</v>
          </cell>
        </row>
        <row r="147">
          <cell r="B147" t="str">
            <v>30P420169501-001</v>
          </cell>
          <cell r="C147">
            <v>3021</v>
          </cell>
          <cell r="D147" t="str">
            <v>30P420169501-501</v>
          </cell>
          <cell r="F147">
            <v>39</v>
          </cell>
          <cell r="G147" t="str">
            <v>בוצע תכנות שלב 1:בוצע , שלב 2: 5X, שלב 3: 5X</v>
          </cell>
          <cell r="H147">
            <v>46393</v>
          </cell>
        </row>
        <row r="148">
          <cell r="B148" t="str">
            <v>30P141218100-001</v>
          </cell>
          <cell r="C148">
            <v>3020</v>
          </cell>
          <cell r="F148">
            <v>32</v>
          </cell>
          <cell r="H148">
            <v>46401</v>
          </cell>
        </row>
        <row r="149">
          <cell r="B149" t="str">
            <v>30P410022200-502</v>
          </cell>
          <cell r="C149">
            <v>3028</v>
          </cell>
          <cell r="F149">
            <v>16</v>
          </cell>
          <cell r="G149" t="str">
            <v>להזמין חומר</v>
          </cell>
          <cell r="H149">
            <v>46407</v>
          </cell>
        </row>
        <row r="150">
          <cell r="B150" t="str">
            <v>30P410022200-501</v>
          </cell>
          <cell r="C150">
            <v>3030</v>
          </cell>
          <cell r="F150">
            <v>16</v>
          </cell>
          <cell r="G150" t="str">
            <v>להזמין חומר</v>
          </cell>
          <cell r="H150">
            <v>46414</v>
          </cell>
        </row>
        <row r="151">
          <cell r="B151" t="str">
            <v>30P310037700-002</v>
          </cell>
          <cell r="C151">
            <v>3024</v>
          </cell>
          <cell r="F151">
            <v>24</v>
          </cell>
          <cell r="G151" t="str">
            <v>חו"ג התקבל,תיק ירד לייצור יש לתכנת</v>
          </cell>
          <cell r="H151">
            <v>46421</v>
          </cell>
        </row>
        <row r="152">
          <cell r="B152" t="str">
            <v>30P310037700-001</v>
          </cell>
          <cell r="C152">
            <v>3024</v>
          </cell>
          <cell r="F152">
            <v>24</v>
          </cell>
          <cell r="G152" t="str">
            <v>חו"ג התקבל,תיק ירד לייצור יש לתכנת</v>
          </cell>
          <cell r="H152">
            <v>46427</v>
          </cell>
        </row>
        <row r="153">
          <cell r="B153" t="str">
            <v>4AS3110023-003</v>
          </cell>
          <cell r="C153" t="e">
            <v>#N/A</v>
          </cell>
          <cell r="D153" t="e">
            <v>#N/A</v>
          </cell>
          <cell r="F153">
            <v>26</v>
          </cell>
          <cell r="G153" t="str">
            <v>בבניית ניתוב</v>
          </cell>
          <cell r="H153">
            <v>46433</v>
          </cell>
        </row>
        <row r="154">
          <cell r="B154" t="str">
            <v>4AS3110023-004</v>
          </cell>
          <cell r="C154" t="e">
            <v>#N/A</v>
          </cell>
          <cell r="F154">
            <v>24</v>
          </cell>
          <cell r="H154">
            <v>46438</v>
          </cell>
        </row>
        <row r="155">
          <cell r="B155" t="str">
            <v>4AS3110022-001</v>
          </cell>
          <cell r="C155" t="e">
            <v>#N/A</v>
          </cell>
          <cell r="D155" t="str">
            <v>שמאל</v>
          </cell>
          <cell r="F155">
            <v>29</v>
          </cell>
          <cell r="G155" t="str">
            <v>להזמין חומר</v>
          </cell>
          <cell r="H155">
            <v>46443</v>
          </cell>
        </row>
        <row r="156">
          <cell r="B156" t="str">
            <v>4AS3110022-002</v>
          </cell>
          <cell r="C156" t="e">
            <v>#N/A</v>
          </cell>
          <cell r="D156" t="str">
            <v>ימין</v>
          </cell>
          <cell r="F156">
            <v>29</v>
          </cell>
          <cell r="G156" t="str">
            <v>להזמין חומר</v>
          </cell>
          <cell r="H156">
            <v>46448</v>
          </cell>
        </row>
        <row r="157">
          <cell r="F157" t="str">
            <v>NEW מכונה8 - 3 צירים</v>
          </cell>
        </row>
        <row r="158">
          <cell r="B158" t="str">
            <v>מקט</v>
          </cell>
          <cell r="C158" t="str">
            <v>מס'מטוס/מקט אבא</v>
          </cell>
          <cell r="D158" t="str">
            <v>הערות</v>
          </cell>
          <cell r="E158" t="str">
            <v>תמונה</v>
          </cell>
          <cell r="F158" t="str">
            <v>כמות</v>
          </cell>
          <cell r="G158" t="str">
            <v>סטאטוס חו"ג</v>
          </cell>
          <cell r="H158" t="str">
            <v>תאריך התחלה</v>
          </cell>
        </row>
        <row r="159">
          <cell r="B159" t="str">
            <v>TNK2102301-001</v>
          </cell>
          <cell r="D159" t="str">
            <v>LAHAV</v>
          </cell>
          <cell r="E159" t="e">
            <v>#VALUE!</v>
          </cell>
          <cell r="F159">
            <v>42</v>
          </cell>
          <cell r="G159" t="str">
            <v>חו"ג הגיע ותיק הועבר לייצור</v>
          </cell>
          <cell r="H159">
            <v>46258</v>
          </cell>
        </row>
        <row r="160">
          <cell r="B160" t="str">
            <v>4341-1066-001</v>
          </cell>
          <cell r="C160" t="str">
            <v>MABAT</v>
          </cell>
          <cell r="D160" t="str">
            <v>חריטה+כרסום</v>
          </cell>
          <cell r="F160">
            <v>10</v>
          </cell>
          <cell r="G160" t="str">
            <v>בתכנות</v>
          </cell>
          <cell r="H160">
            <v>46261</v>
          </cell>
        </row>
        <row r="161">
          <cell r="B161" t="str">
            <v>30P450171200-001</v>
          </cell>
          <cell r="C161">
            <v>2341</v>
          </cell>
          <cell r="D161" t="str">
            <v>30P450170101-501</v>
          </cell>
          <cell r="F161" t="str">
            <v>15+65</v>
          </cell>
          <cell r="G161" t="str">
            <v>חו"ג הגיע ונמסר לייצור</v>
          </cell>
          <cell r="H161">
            <v>46265</v>
          </cell>
        </row>
        <row r="162">
          <cell r="B162" t="str">
            <v>30P450171200-002</v>
          </cell>
          <cell r="C162">
            <v>3009</v>
          </cell>
          <cell r="D162" t="str">
            <v>30P450170101-502</v>
          </cell>
          <cell r="F162" t="str">
            <v>15+65</v>
          </cell>
          <cell r="G162" t="str">
            <v>חו"ג הגיע ונמסר לייצור</v>
          </cell>
          <cell r="H162">
            <v>46270</v>
          </cell>
        </row>
        <row r="163">
          <cell r="B163" t="str">
            <v>16W121-22</v>
          </cell>
          <cell r="C163" t="str">
            <v>F-16</v>
          </cell>
          <cell r="F163">
            <v>8</v>
          </cell>
          <cell r="G163" t="str">
            <v>בהזמנת חו"ג אצל יוסי -דחוף מאוד</v>
          </cell>
          <cell r="H163">
            <v>46279</v>
          </cell>
        </row>
        <row r="164">
          <cell r="B164" t="str">
            <v>16W121-21</v>
          </cell>
          <cell r="C164" t="str">
            <v>F-16</v>
          </cell>
          <cell r="F164">
            <v>19</v>
          </cell>
          <cell r="G164" t="str">
            <v>בהזמנת חו"ג אצל יוסי -דחוף מאוד</v>
          </cell>
          <cell r="H164">
            <v>46283</v>
          </cell>
        </row>
        <row r="165">
          <cell r="B165" t="str">
            <v>16W1120-13</v>
          </cell>
          <cell r="C165" t="str">
            <v>F-16</v>
          </cell>
          <cell r="D165" t="str">
            <v>סימון + גילוח</v>
          </cell>
          <cell r="F165">
            <v>7</v>
          </cell>
          <cell r="G165" t="str">
            <v>בהזמנת חו"ג אצל יוסי</v>
          </cell>
          <cell r="H165">
            <v>46287</v>
          </cell>
        </row>
        <row r="166">
          <cell r="B166" t="str">
            <v>16W1120-14</v>
          </cell>
          <cell r="C166" t="str">
            <v>F-16</v>
          </cell>
          <cell r="D166" t="str">
            <v>יתרה</v>
          </cell>
          <cell r="F166">
            <v>3</v>
          </cell>
          <cell r="G166" t="str">
            <v>בהזמנת חו"ג אצל יוסי</v>
          </cell>
          <cell r="H166">
            <v>46290</v>
          </cell>
        </row>
        <row r="167">
          <cell r="B167" t="str">
            <v>‎KTR1523012-001‏</v>
          </cell>
          <cell r="C167" t="str">
            <v xml:space="preserve">יתרה </v>
          </cell>
          <cell r="D167" t="e">
            <v>#N/A</v>
          </cell>
          <cell r="F167">
            <v>10</v>
          </cell>
          <cell r="H167">
            <v>46293</v>
          </cell>
        </row>
        <row r="168">
          <cell r="B168" t="str">
            <v>30P357206300-001</v>
          </cell>
          <cell r="C168">
            <v>3024</v>
          </cell>
          <cell r="D168" t="str">
            <v>30P357206300-501</v>
          </cell>
          <cell r="F168">
            <v>25</v>
          </cell>
          <cell r="G168" t="str">
            <v>חו"ג הגיע -חזר מכרומט</v>
          </cell>
          <cell r="H168">
            <v>46296</v>
          </cell>
        </row>
        <row r="169">
          <cell r="B169" t="str">
            <v>30P357350200-001</v>
          </cell>
          <cell r="C169">
            <v>3019</v>
          </cell>
          <cell r="D169" t="str">
            <v>30P357350200-501</v>
          </cell>
          <cell r="F169">
            <v>28</v>
          </cell>
          <cell r="G169" t="str">
            <v>חו"ג הגיע יש לתכנת</v>
          </cell>
          <cell r="H169">
            <v>46303</v>
          </cell>
        </row>
        <row r="170">
          <cell r="B170" t="str">
            <v>30P450260100-001</v>
          </cell>
          <cell r="C170">
            <v>3021</v>
          </cell>
          <cell r="F170">
            <v>23</v>
          </cell>
          <cell r="G170" t="str">
            <v>להזמין חו"ג ליתרה</v>
          </cell>
          <cell r="H170">
            <v>46308</v>
          </cell>
        </row>
        <row r="171">
          <cell r="B171" t="str">
            <v>30P450260100-002</v>
          </cell>
          <cell r="C171">
            <v>3031</v>
          </cell>
          <cell r="F171">
            <v>9</v>
          </cell>
          <cell r="G171" t="str">
            <v>להזמין חו"ג ליתרה</v>
          </cell>
          <cell r="H171">
            <v>46315</v>
          </cell>
        </row>
        <row r="172">
          <cell r="B172" t="str">
            <v>30P420180100-001</v>
          </cell>
          <cell r="C172">
            <v>3017</v>
          </cell>
          <cell r="F172">
            <v>72</v>
          </cell>
          <cell r="G172" t="str">
            <v>בוצע תכנות שלב 1: 5X , שלב 2: 3X</v>
          </cell>
          <cell r="H172">
            <v>46322</v>
          </cell>
        </row>
        <row r="173">
          <cell r="B173" t="str">
            <v>30P420180200-001</v>
          </cell>
          <cell r="C173">
            <v>3020</v>
          </cell>
          <cell r="F173">
            <v>72</v>
          </cell>
          <cell r="G173" t="str">
            <v>בוצע תכנות שלב 1: 5X , שלב 2: 3X</v>
          </cell>
          <cell r="H173">
            <v>46326</v>
          </cell>
        </row>
        <row r="174">
          <cell r="B174" t="str">
            <v>30P141228400-001</v>
          </cell>
          <cell r="C174">
            <v>3021</v>
          </cell>
          <cell r="F174">
            <v>27</v>
          </cell>
          <cell r="G174" t="str">
            <v>חו"ג הגיע</v>
          </cell>
          <cell r="H174">
            <v>46330</v>
          </cell>
        </row>
        <row r="175">
          <cell r="B175" t="str">
            <v>9001J159-001</v>
          </cell>
          <cell r="C175" t="str">
            <v>דחוף!</v>
          </cell>
          <cell r="D175" t="str">
            <v>דחוף!</v>
          </cell>
          <cell r="F175">
            <v>12</v>
          </cell>
          <cell r="G175" t="str">
            <v>אין חומר   חומר באישור לקוח</v>
          </cell>
          <cell r="H175">
            <v>46334</v>
          </cell>
        </row>
        <row r="176">
          <cell r="B176" t="str">
            <v>9009T074-001</v>
          </cell>
          <cell r="C176" t="str">
            <v>דחוף!</v>
          </cell>
          <cell r="D176" t="str">
            <v>דחוף!</v>
          </cell>
          <cell r="F176">
            <v>12</v>
          </cell>
          <cell r="G176" t="str">
            <v>אין חומר   חומר באישור לקוח</v>
          </cell>
          <cell r="H176">
            <v>46338</v>
          </cell>
        </row>
        <row r="177">
          <cell r="B177" t="str">
            <v>9001J165-001</v>
          </cell>
          <cell r="C177" t="str">
            <v>ממתין לחו"ג</v>
          </cell>
          <cell r="D177" t="str">
            <v>דחוף!</v>
          </cell>
          <cell r="F177">
            <v>12</v>
          </cell>
          <cell r="G177" t="str">
            <v>אין חומר   חומר באישור לקוח</v>
          </cell>
          <cell r="H177">
            <v>46343</v>
          </cell>
        </row>
        <row r="178">
          <cell r="B178" t="str">
            <v>30P141435200-001</v>
          </cell>
          <cell r="C178">
            <v>3019</v>
          </cell>
          <cell r="D178" t="str">
            <v>30P141435000-501</v>
          </cell>
          <cell r="F178">
            <v>36</v>
          </cell>
          <cell r="G178" t="str">
            <v>יש לתכנת פריט חדש</v>
          </cell>
          <cell r="H178">
            <v>46348</v>
          </cell>
        </row>
        <row r="179">
          <cell r="B179" t="str">
            <v>30P357200302-001</v>
          </cell>
          <cell r="C179">
            <v>3019</v>
          </cell>
          <cell r="D179" t="str">
            <v>30P357201501-501</v>
          </cell>
          <cell r="F179">
            <v>32</v>
          </cell>
          <cell r="G179" t="str">
            <v>יש לתכנת -חו"ג הגיע ועבר לייצור</v>
          </cell>
          <cell r="H179">
            <v>46353</v>
          </cell>
        </row>
        <row r="180">
          <cell r="B180" t="str">
            <v>30P357200402-001</v>
          </cell>
          <cell r="C180">
            <v>3019</v>
          </cell>
          <cell r="D180" t="str">
            <v>30P357201301-501</v>
          </cell>
          <cell r="F180">
            <v>32</v>
          </cell>
          <cell r="G180" t="str">
            <v>יש לתכנת -חו"ג הגיע ועבר לייצור</v>
          </cell>
          <cell r="H180">
            <v>46358</v>
          </cell>
        </row>
        <row r="181">
          <cell r="B181" t="str">
            <v>30P532526400-001</v>
          </cell>
          <cell r="C181">
            <v>3022</v>
          </cell>
          <cell r="D181" t="str">
            <v>חריטה וכרסום</v>
          </cell>
          <cell r="F181">
            <v>24</v>
          </cell>
          <cell r="G181" t="str">
            <v>חו"ג הגיע</v>
          </cell>
          <cell r="H181">
            <v>46363</v>
          </cell>
        </row>
        <row r="182">
          <cell r="B182" t="str">
            <v>30P410167101-001</v>
          </cell>
          <cell r="D182" t="str">
            <v>שמאל</v>
          </cell>
          <cell r="F182">
            <v>12</v>
          </cell>
          <cell r="H182">
            <v>46368</v>
          </cell>
        </row>
        <row r="183">
          <cell r="B183" t="str">
            <v>30P410183401-002‏</v>
          </cell>
          <cell r="F183">
            <v>24</v>
          </cell>
          <cell r="H183">
            <v>46373</v>
          </cell>
        </row>
        <row r="184">
          <cell r="F184" t="str">
            <v>מכונה 10 HAAS - צירים3</v>
          </cell>
        </row>
        <row r="185">
          <cell r="B185" t="str">
            <v>מקט</v>
          </cell>
          <cell r="C185" t="str">
            <v>מס'מטוס/מקט אבא</v>
          </cell>
          <cell r="D185" t="str">
            <v>הערות</v>
          </cell>
          <cell r="E185" t="str">
            <v>תמונה</v>
          </cell>
          <cell r="F185" t="str">
            <v>כמות</v>
          </cell>
          <cell r="G185" t="str">
            <v>סטאטוס חו"ג</v>
          </cell>
          <cell r="H185" t="str">
            <v>תאריך התחלה</v>
          </cell>
        </row>
        <row r="186">
          <cell r="B186" t="str">
            <v>30P647004101-001</v>
          </cell>
          <cell r="C186">
            <v>3024</v>
          </cell>
          <cell r="F186">
            <v>97</v>
          </cell>
          <cell r="G186" t="str">
            <v>יש לתכנת פריט חדש -חו"ג הוזמן ל01/02</v>
          </cell>
          <cell r="H186">
            <v>46235</v>
          </cell>
        </row>
        <row r="187">
          <cell r="B187" t="str">
            <v>UCP-280-17320-000</v>
          </cell>
          <cell r="C187" t="str">
            <v>UCP</v>
          </cell>
          <cell r="D187" t="str">
            <v>דחוף!</v>
          </cell>
          <cell r="F187">
            <v>1</v>
          </cell>
          <cell r="G187" t="str">
            <v xml:space="preserve">חו"ג הגיע  -יש לתכנת </v>
          </cell>
          <cell r="H187">
            <v>46259</v>
          </cell>
        </row>
        <row r="188">
          <cell r="B188" t="str">
            <v>1199C423-001</v>
          </cell>
          <cell r="C188" t="str">
            <v>ELTA</v>
          </cell>
          <cell r="D188" t="str">
            <v>דחוף!</v>
          </cell>
          <cell r="F188">
            <v>3</v>
          </cell>
          <cell r="G188" t="str">
            <v>חו"ג הגיע ועבר לייצור</v>
          </cell>
          <cell r="H188">
            <v>46261</v>
          </cell>
        </row>
        <row r="189">
          <cell r="B189" t="str">
            <v>30P283003300-002</v>
          </cell>
          <cell r="C189">
            <v>3019</v>
          </cell>
          <cell r="F189">
            <v>24</v>
          </cell>
          <cell r="G189" t="str">
            <v>חו"ג הגיע וחזר מטיפול טרמי</v>
          </cell>
          <cell r="H189">
            <v>46265</v>
          </cell>
        </row>
        <row r="190">
          <cell r="B190" t="str">
            <v>30P283003300-001</v>
          </cell>
          <cell r="C190" t="e">
            <v>#N/A</v>
          </cell>
          <cell r="F190">
            <v>7</v>
          </cell>
          <cell r="G190" t="str">
            <v>חו"ג הגיע וחזר מטיפול טרמי</v>
          </cell>
          <cell r="H190">
            <v>46270</v>
          </cell>
        </row>
        <row r="191">
          <cell r="B191" t="str">
            <v>30P782531500-001</v>
          </cell>
          <cell r="C191">
            <v>3024</v>
          </cell>
          <cell r="F191">
            <v>48</v>
          </cell>
          <cell r="G191" t="str">
            <v>חו"ג הגיע וחזר מטיפול טרמי</v>
          </cell>
          <cell r="H191">
            <v>46275</v>
          </cell>
        </row>
        <row r="192">
          <cell r="B192" t="str">
            <v>30P532531600-001</v>
          </cell>
          <cell r="C192">
            <v>3029</v>
          </cell>
          <cell r="F192">
            <v>24</v>
          </cell>
          <cell r="G192" t="str">
            <v>חו"ג הגיע ויוצא לטיפול טרמי</v>
          </cell>
          <cell r="H192">
            <v>46280</v>
          </cell>
        </row>
        <row r="193">
          <cell r="B193" t="str">
            <v>30P357206200-001</v>
          </cell>
          <cell r="C193">
            <v>3024</v>
          </cell>
          <cell r="F193">
            <v>48</v>
          </cell>
          <cell r="G193" t="str">
            <v>חו"ג הגיע וחזר מטיפול טרמי</v>
          </cell>
          <cell r="H193">
            <v>46285</v>
          </cell>
        </row>
        <row r="194">
          <cell r="B194" t="str">
            <v>30P410185300-002</v>
          </cell>
          <cell r="C194">
            <v>3023</v>
          </cell>
          <cell r="D194" t="str">
            <v>30P410185300-502</v>
          </cell>
          <cell r="F194">
            <v>20</v>
          </cell>
          <cell r="H194">
            <v>46278</v>
          </cell>
        </row>
        <row r="195">
          <cell r="B195" t="str">
            <v>30P410185300-001</v>
          </cell>
          <cell r="C195" t="str">
            <v>יתרה</v>
          </cell>
          <cell r="D195" t="str">
            <v>30P410185300-501</v>
          </cell>
          <cell r="F195">
            <v>10</v>
          </cell>
          <cell r="H195">
            <v>46284</v>
          </cell>
        </row>
        <row r="196">
          <cell r="B196" t="str">
            <v>30P410173500-001</v>
          </cell>
          <cell r="C196">
            <v>3017</v>
          </cell>
          <cell r="D196" t="str">
            <v>‎30P410178501-501‏</v>
          </cell>
          <cell r="F196">
            <v>34</v>
          </cell>
          <cell r="G196" t="str">
            <v>להזמין חו"ג</v>
          </cell>
          <cell r="H196">
            <v>46289</v>
          </cell>
        </row>
        <row r="197">
          <cell r="B197" t="str">
            <v>30P410173601-001</v>
          </cell>
          <cell r="C197">
            <v>3017</v>
          </cell>
          <cell r="D197" t="str">
            <v>‎30P410178501-501‏</v>
          </cell>
          <cell r="F197">
            <v>34</v>
          </cell>
          <cell r="G197" t="str">
            <v>להזמין חו"ג</v>
          </cell>
          <cell r="H197">
            <v>46292</v>
          </cell>
        </row>
        <row r="198">
          <cell r="B198" t="str">
            <v>30P355140500-001</v>
          </cell>
          <cell r="C198">
            <v>3024</v>
          </cell>
          <cell r="F198">
            <v>48</v>
          </cell>
          <cell r="G198" t="str">
            <v>חו"ג הגיע ועבר לייצור</v>
          </cell>
          <cell r="H198">
            <v>46295</v>
          </cell>
        </row>
        <row r="199">
          <cell r="B199" t="str">
            <v>30P532460300-001</v>
          </cell>
          <cell r="C199">
            <v>3029</v>
          </cell>
          <cell r="F199">
            <v>24</v>
          </cell>
          <cell r="G199" t="str">
            <v>חו"ג הגיע ועבר לייצור</v>
          </cell>
          <cell r="H199">
            <v>46300</v>
          </cell>
        </row>
        <row r="200">
          <cell r="B200" t="str">
            <v>30P313472100-001</v>
          </cell>
          <cell r="C200">
            <v>3019</v>
          </cell>
          <cell r="D200" t="str">
            <v>30P313472100-501</v>
          </cell>
          <cell r="F200">
            <v>24</v>
          </cell>
          <cell r="G200" t="str">
            <v>חו"ג הגיע ועבר לייצור</v>
          </cell>
          <cell r="H200">
            <v>46305</v>
          </cell>
        </row>
        <row r="201">
          <cell r="B201" t="str">
            <v>4AS6900608-003</v>
          </cell>
          <cell r="C201">
            <v>3025</v>
          </cell>
          <cell r="F201">
            <v>46</v>
          </cell>
          <cell r="G201" t="str">
            <v>חו"ג הוזמן</v>
          </cell>
          <cell r="H201">
            <v>46310</v>
          </cell>
        </row>
        <row r="202">
          <cell r="B202" t="str">
            <v>30P357205000-001</v>
          </cell>
          <cell r="C202">
            <v>3019</v>
          </cell>
          <cell r="D202" t="str">
            <v>30P357201501-501</v>
          </cell>
          <cell r="F202">
            <v>32</v>
          </cell>
          <cell r="G202" t="str">
            <v>יש לתכנת  -להזמין חו"ג</v>
          </cell>
          <cell r="H202">
            <v>46315</v>
          </cell>
        </row>
        <row r="203">
          <cell r="B203" t="str">
            <v>30P357205000-001</v>
          </cell>
          <cell r="C203">
            <v>3019</v>
          </cell>
          <cell r="D203" t="str">
            <v>30P357201301-501</v>
          </cell>
          <cell r="F203">
            <v>32</v>
          </cell>
          <cell r="G203" t="str">
            <v>יש לתכנת  -להזמין חו"ג</v>
          </cell>
          <cell r="H203">
            <v>46320</v>
          </cell>
        </row>
        <row r="204">
          <cell r="B204" t="str">
            <v>25G3580156-501</v>
          </cell>
          <cell r="C204">
            <v>3019</v>
          </cell>
          <cell r="D204" t="str">
            <v>32G410124000-501</v>
          </cell>
          <cell r="F204">
            <v>20</v>
          </cell>
          <cell r="G204" t="str">
            <v>חו"ג הגיע ועבר לייצור</v>
          </cell>
          <cell r="H204">
            <v>46325</v>
          </cell>
        </row>
        <row r="205">
          <cell r="B205" t="str">
            <v>30P532531900-001</v>
          </cell>
          <cell r="C205">
            <v>3030</v>
          </cell>
          <cell r="F205">
            <v>17</v>
          </cell>
          <cell r="G205" t="str">
            <v>יתרה 17 יח</v>
          </cell>
          <cell r="H205">
            <v>46328</v>
          </cell>
        </row>
        <row r="206">
          <cell r="B206" t="str">
            <v>30P357200200-001</v>
          </cell>
          <cell r="C206" t="e">
            <v>#N/A</v>
          </cell>
          <cell r="F206">
            <v>273</v>
          </cell>
          <cell r="G206" t="str">
            <v>להזמין חו"ג</v>
          </cell>
          <cell r="H206">
            <v>46332</v>
          </cell>
        </row>
        <row r="207">
          <cell r="F207" t="str">
            <v>HAAS חדשה 14 -5צירים</v>
          </cell>
        </row>
        <row r="208">
          <cell r="B208" t="str">
            <v>מקט</v>
          </cell>
          <cell r="C208" t="str">
            <v>מס'מטוס/מקט אבא</v>
          </cell>
          <cell r="D208" t="str">
            <v>הערות</v>
          </cell>
          <cell r="E208" t="str">
            <v>תמונה</v>
          </cell>
          <cell r="F208" t="str">
            <v>כמות</v>
          </cell>
          <cell r="G208" t="str">
            <v>סטאטוס חו"ג</v>
          </cell>
          <cell r="H208" t="str">
            <v>תאריך התחלה</v>
          </cell>
        </row>
        <row r="209">
          <cell r="B209" t="str">
            <v>30P450172100-002</v>
          </cell>
          <cell r="C209">
            <v>3007</v>
          </cell>
          <cell r="D209" t="str">
            <v>30P450171900-502</v>
          </cell>
          <cell r="F209">
            <v>22</v>
          </cell>
          <cell r="G209" t="str">
            <v>יש חומר</v>
          </cell>
          <cell r="H209">
            <v>46258</v>
          </cell>
        </row>
        <row r="210">
          <cell r="B210" t="str">
            <v>30P450025601-001</v>
          </cell>
          <cell r="C210">
            <v>3013</v>
          </cell>
          <cell r="D210" t="str">
            <v xml:space="preserve">שמאל </v>
          </cell>
          <cell r="F210">
            <v>36</v>
          </cell>
          <cell r="G210" t="str">
            <v>חו"ג הגיע ונמסר לייצור</v>
          </cell>
          <cell r="H210">
            <v>46264</v>
          </cell>
        </row>
        <row r="211">
          <cell r="B211" t="str">
            <v>30P450025601-002</v>
          </cell>
          <cell r="C211">
            <v>3024</v>
          </cell>
          <cell r="D211" t="str">
            <v>ימין</v>
          </cell>
          <cell r="F211">
            <v>36</v>
          </cell>
          <cell r="G211" t="str">
            <v>חו"ג הגיע ונמסר לייצור</v>
          </cell>
          <cell r="H211">
            <v>46265</v>
          </cell>
        </row>
        <row r="212">
          <cell r="B212" t="str">
            <v>30P450025501-002</v>
          </cell>
          <cell r="C212">
            <v>3020</v>
          </cell>
          <cell r="D212" t="str">
            <v xml:space="preserve">שמאל </v>
          </cell>
          <cell r="F212">
            <v>36</v>
          </cell>
          <cell r="G212" t="str">
            <v>חו"ג הגיע ונמסר לייצור</v>
          </cell>
          <cell r="H212">
            <v>46266</v>
          </cell>
        </row>
        <row r="213">
          <cell r="B213" t="str">
            <v>30P450025501-001</v>
          </cell>
          <cell r="C213">
            <v>3014</v>
          </cell>
          <cell r="D213" t="str">
            <v>ימין</v>
          </cell>
          <cell r="F213">
            <v>40</v>
          </cell>
          <cell r="G213" t="str">
            <v>חו"ג הגיע ונמסר לייצור</v>
          </cell>
          <cell r="H213">
            <v>46269</v>
          </cell>
        </row>
        <row r="214">
          <cell r="B214" t="str">
            <v>30P450025401-001</v>
          </cell>
          <cell r="C214">
            <v>3025</v>
          </cell>
          <cell r="D214" t="str">
            <v xml:space="preserve">שמאל </v>
          </cell>
          <cell r="F214">
            <v>20</v>
          </cell>
          <cell r="G214" t="str">
            <v>חו"ג הגיע ונמסר לייצור</v>
          </cell>
          <cell r="H214">
            <v>46271</v>
          </cell>
        </row>
        <row r="215">
          <cell r="B215" t="str">
            <v>30P450025401-002</v>
          </cell>
          <cell r="C215">
            <v>3023</v>
          </cell>
          <cell r="D215" t="str">
            <v>ימין</v>
          </cell>
          <cell r="F215">
            <v>36</v>
          </cell>
          <cell r="G215" t="str">
            <v>חו"ג הגיע ונמסר לייצור</v>
          </cell>
          <cell r="H215">
            <v>46272</v>
          </cell>
        </row>
        <row r="216">
          <cell r="B216" t="str">
            <v>30P450161300-001</v>
          </cell>
          <cell r="C216">
            <v>3023</v>
          </cell>
          <cell r="D216" t="str">
            <v>ימין</v>
          </cell>
          <cell r="F216">
            <v>24</v>
          </cell>
          <cell r="G216" t="str">
            <v>חו"ג הגיע ונמסר לייצור</v>
          </cell>
          <cell r="H216">
            <v>46264</v>
          </cell>
        </row>
        <row r="217">
          <cell r="B217" t="str">
            <v>30P450161300-002</v>
          </cell>
          <cell r="C217">
            <v>3015</v>
          </cell>
          <cell r="D217" t="str">
            <v xml:space="preserve">שמאל </v>
          </cell>
          <cell r="F217">
            <v>33</v>
          </cell>
          <cell r="G217" t="str">
            <v>חו"ג הגיע ונמסר לייצור</v>
          </cell>
          <cell r="H217">
            <v>46268</v>
          </cell>
        </row>
        <row r="218">
          <cell r="B218" t="str">
            <v>30P450161200-001</v>
          </cell>
          <cell r="C218">
            <v>3015</v>
          </cell>
          <cell r="D218" t="str">
            <v xml:space="preserve">שמאל </v>
          </cell>
          <cell r="F218">
            <v>33</v>
          </cell>
          <cell r="G218" t="str">
            <v>חו"ג הגיע ונמסר לייצור</v>
          </cell>
          <cell r="H218">
            <v>46270</v>
          </cell>
        </row>
        <row r="219">
          <cell r="B219" t="str">
            <v>30P450161200-002‏</v>
          </cell>
          <cell r="C219">
            <v>3018</v>
          </cell>
          <cell r="D219" t="str">
            <v>ימין</v>
          </cell>
          <cell r="F219">
            <v>28</v>
          </cell>
          <cell r="G219" t="str">
            <v>חו"ג הגיע ונמסר לייצור</v>
          </cell>
          <cell r="H219">
            <v>46272</v>
          </cell>
        </row>
        <row r="220">
          <cell r="B220" t="str">
            <v>‎30P450172000-501‏</v>
          </cell>
          <cell r="C220" t="str">
            <v xml:space="preserve"> דחוף3021</v>
          </cell>
          <cell r="D220" t="str">
            <v>‎30P450172000-501‏</v>
          </cell>
          <cell r="F220">
            <v>27</v>
          </cell>
          <cell r="G220" t="str">
            <v>חו"ג הגיע עבר לייצור -חלק דחוף</v>
          </cell>
          <cell r="H220">
            <v>46274</v>
          </cell>
        </row>
        <row r="221">
          <cell r="B221" t="str">
            <v>‎30P450172000-502‏</v>
          </cell>
          <cell r="C221" t="str">
            <v xml:space="preserve">3026 דחוף </v>
          </cell>
          <cell r="D221" t="str">
            <v>‎30P450172000-502</v>
          </cell>
          <cell r="F221">
            <v>22</v>
          </cell>
          <cell r="G221" t="str">
            <v>חו"ג הגיע עבר לייצור -חלק דחוף</v>
          </cell>
          <cell r="H221">
            <v>46280</v>
          </cell>
        </row>
        <row r="222">
          <cell r="B222" t="str">
            <v>30A2720103-001</v>
          </cell>
          <cell r="C222" t="str">
            <v>טכנולוגיות</v>
          </cell>
          <cell r="F222">
            <v>45</v>
          </cell>
          <cell r="G222" t="str">
            <v>חו"ג הגיע?</v>
          </cell>
          <cell r="H222">
            <v>46287</v>
          </cell>
        </row>
        <row r="223">
          <cell r="B223" t="str">
            <v>KTR1523020-001</v>
          </cell>
          <cell r="C223" t="str">
            <v>KTR</v>
          </cell>
          <cell r="F223">
            <v>80</v>
          </cell>
          <cell r="G223" t="str">
            <v>אחרי פעולה1 ?</v>
          </cell>
          <cell r="H223">
            <v>46292</v>
          </cell>
        </row>
        <row r="224">
          <cell r="B224" t="str">
            <v>30P450177100-001</v>
          </cell>
          <cell r="C224">
            <v>3016</v>
          </cell>
          <cell r="F224">
            <v>30</v>
          </cell>
          <cell r="H224">
            <v>46299</v>
          </cell>
        </row>
        <row r="225">
          <cell r="B225" t="str">
            <v>30P450177100-002</v>
          </cell>
          <cell r="C225">
            <v>3021</v>
          </cell>
          <cell r="F225">
            <v>28</v>
          </cell>
          <cell r="H225">
            <v>46304</v>
          </cell>
        </row>
        <row r="226">
          <cell r="B226" t="str">
            <v>23409-000-00</v>
          </cell>
          <cell r="C226" t="str">
            <v>TECHNOLOGY</v>
          </cell>
          <cell r="D226" t="str">
            <v>יתרה 3 יח+הזמנה חדשה</v>
          </cell>
          <cell r="F226">
            <v>15</v>
          </cell>
          <cell r="G226" t="str">
            <v>להזמין חומר</v>
          </cell>
          <cell r="H226">
            <v>46308</v>
          </cell>
        </row>
        <row r="227">
          <cell r="B227" t="str">
            <v>30P410031500-001</v>
          </cell>
          <cell r="C227">
            <v>3018</v>
          </cell>
          <cell r="D227" t="str">
            <v>פעולה שניה+פעולה שלישית</v>
          </cell>
          <cell r="F227">
            <v>39</v>
          </cell>
          <cell r="G227" t="str">
            <v>חו"ג הגיע 20 יח</v>
          </cell>
          <cell r="H227">
            <v>46317</v>
          </cell>
        </row>
        <row r="228">
          <cell r="B228" t="str">
            <v>30P410182301-001</v>
          </cell>
          <cell r="C228">
            <v>3020</v>
          </cell>
          <cell r="D228" t="str">
            <v>30P410118002-501</v>
          </cell>
          <cell r="F228">
            <v>21</v>
          </cell>
          <cell r="G228" t="str">
            <v>יש במלאי במחסן 14 יח תוצ"ג</v>
          </cell>
          <cell r="H228">
            <v>46324</v>
          </cell>
        </row>
        <row r="229">
          <cell r="B229" t="str">
            <v>30P450185101-001‏</v>
          </cell>
          <cell r="C229">
            <v>3016</v>
          </cell>
          <cell r="D229" t="str">
            <v>כולל הזמנות חדשות</v>
          </cell>
          <cell r="F229">
            <v>27</v>
          </cell>
          <cell r="H229">
            <v>46327</v>
          </cell>
        </row>
        <row r="230">
          <cell r="B230" t="str">
            <v>‎30P450185101-002‏</v>
          </cell>
          <cell r="C230">
            <v>3016</v>
          </cell>
          <cell r="D230" t="str">
            <v>כולל הזמנות חדשות</v>
          </cell>
          <cell r="F230">
            <v>26</v>
          </cell>
          <cell r="H230">
            <v>46332</v>
          </cell>
        </row>
        <row r="231">
          <cell r="B231" t="str">
            <v>30P410173900-001</v>
          </cell>
          <cell r="C231">
            <v>3015</v>
          </cell>
          <cell r="D231" t="str">
            <v>30P410178901-501</v>
          </cell>
          <cell r="F231">
            <v>33</v>
          </cell>
          <cell r="H231">
            <v>46337</v>
          </cell>
        </row>
        <row r="232">
          <cell r="B232" t="str">
            <v>30P410174001-001</v>
          </cell>
          <cell r="C232">
            <v>3015</v>
          </cell>
          <cell r="D232" t="str">
            <v>30P410178901-501</v>
          </cell>
          <cell r="F232">
            <v>33</v>
          </cell>
          <cell r="H232">
            <v>46344</v>
          </cell>
        </row>
        <row r="233">
          <cell r="B233" t="str">
            <v>30P410022100-502</v>
          </cell>
          <cell r="C233">
            <v>3015</v>
          </cell>
          <cell r="D233" t="str">
            <v>ימין</v>
          </cell>
          <cell r="F233">
            <v>28</v>
          </cell>
          <cell r="H233">
            <v>46348</v>
          </cell>
        </row>
        <row r="234">
          <cell r="B234" t="str">
            <v>30P410022100-501</v>
          </cell>
          <cell r="C234">
            <v>3018</v>
          </cell>
          <cell r="D234" t="str">
            <v>שמאל</v>
          </cell>
          <cell r="F234">
            <v>25</v>
          </cell>
          <cell r="H234">
            <v>46353</v>
          </cell>
        </row>
        <row r="235">
          <cell r="B235" t="str">
            <v>30P430212200-501‏</v>
          </cell>
          <cell r="C235">
            <v>3017</v>
          </cell>
          <cell r="D235" t="str">
            <v>כולל הזמנות חדשות</v>
          </cell>
          <cell r="F235">
            <v>31</v>
          </cell>
          <cell r="H235">
            <v>46358</v>
          </cell>
        </row>
        <row r="236">
          <cell r="B236" t="str">
            <v>‎30P430212200-502‏</v>
          </cell>
          <cell r="C236">
            <v>3018</v>
          </cell>
          <cell r="D236" t="str">
            <v>כולל הזמנות חדשות</v>
          </cell>
          <cell r="F236">
            <v>29</v>
          </cell>
          <cell r="H236">
            <v>46364</v>
          </cell>
        </row>
        <row r="237">
          <cell r="B237" t="str">
            <v>KTR1177035-001</v>
          </cell>
          <cell r="D237" t="str">
            <v>יתרה 4 יח</v>
          </cell>
          <cell r="F237">
            <v>4</v>
          </cell>
          <cell r="G237" t="str">
            <v>להזמין חו"ג</v>
          </cell>
          <cell r="H237">
            <v>46370</v>
          </cell>
        </row>
        <row r="238">
          <cell r="B238" t="str">
            <v>‎KTR1311279-001‏</v>
          </cell>
          <cell r="D238" t="str">
            <v>יתרה 2 יח</v>
          </cell>
          <cell r="F238">
            <v>2</v>
          </cell>
          <cell r="G238" t="str">
            <v>להזמין חו"ג</v>
          </cell>
          <cell r="H238">
            <v>46375</v>
          </cell>
        </row>
        <row r="239">
          <cell r="B239" t="str">
            <v>30P355126700-001</v>
          </cell>
          <cell r="C239">
            <v>3018</v>
          </cell>
          <cell r="F239">
            <v>448</v>
          </cell>
          <cell r="G239" t="str">
            <v>חו"ג התקבל ב20/07/26</v>
          </cell>
          <cell r="H239">
            <v>46380</v>
          </cell>
        </row>
        <row r="240">
          <cell r="B240" t="str">
            <v>30P331074500-001</v>
          </cell>
          <cell r="C240">
            <v>3024</v>
          </cell>
          <cell r="F240">
            <v>24</v>
          </cell>
          <cell r="H240">
            <v>46388</v>
          </cell>
        </row>
        <row r="241">
          <cell r="B241" t="str">
            <v>30P357201900-002</v>
          </cell>
          <cell r="C241">
            <v>3019</v>
          </cell>
          <cell r="D241" t="str">
            <v>30P357201301-501</v>
          </cell>
          <cell r="F241">
            <v>32</v>
          </cell>
          <cell r="G241" t="str">
            <v>צפי הגעת בושינגים -30/05/26 חו"ג נקלט ותיק בייצור</v>
          </cell>
          <cell r="H241">
            <v>46394</v>
          </cell>
        </row>
        <row r="242">
          <cell r="B242" t="str">
            <v>30P357201900-001</v>
          </cell>
          <cell r="C242">
            <v>3019</v>
          </cell>
          <cell r="D242" t="str">
            <v>30P357201501-501</v>
          </cell>
          <cell r="F242">
            <v>32</v>
          </cell>
          <cell r="G242" t="str">
            <v>צפי הגעת בושינגים -30/05/26 חו"ג נקלט ותיק בייצור</v>
          </cell>
          <cell r="H242">
            <v>46401</v>
          </cell>
        </row>
        <row r="243">
          <cell r="B243" t="str">
            <v>30P531146000-501</v>
          </cell>
          <cell r="C243">
            <v>3019</v>
          </cell>
          <cell r="F243">
            <v>24</v>
          </cell>
          <cell r="G243" t="str">
            <v>חו"ג הגיע</v>
          </cell>
          <cell r="H243">
            <v>46408</v>
          </cell>
        </row>
        <row r="244">
          <cell r="B244" t="str">
            <v>30P531147000-501</v>
          </cell>
          <cell r="C244">
            <v>3024</v>
          </cell>
          <cell r="F244">
            <v>24</v>
          </cell>
          <cell r="G244" t="str">
            <v>חו"ג הגיע</v>
          </cell>
          <cell r="H244">
            <v>46414</v>
          </cell>
        </row>
        <row r="245">
          <cell r="B245" t="str">
            <v>KTR1524026-001</v>
          </cell>
          <cell r="C245" t="str">
            <v>LAHAV</v>
          </cell>
          <cell r="F245">
            <v>4</v>
          </cell>
          <cell r="H245">
            <v>46420</v>
          </cell>
        </row>
        <row r="246">
          <cell r="B246" t="str">
            <v>30P331076500-501</v>
          </cell>
          <cell r="C246">
            <v>3027</v>
          </cell>
          <cell r="D246" t="str">
            <v>הזמנות חדשות</v>
          </cell>
          <cell r="F246">
            <v>14</v>
          </cell>
          <cell r="G246" t="str">
            <v>להזמין חו"ג</v>
          </cell>
          <cell r="H246">
            <v>46423</v>
          </cell>
        </row>
        <row r="247">
          <cell r="F247" t="str">
            <v>HAAS חדשה 15 -5צירים</v>
          </cell>
        </row>
        <row r="248">
          <cell r="B248" t="str">
            <v>30P450174600-001</v>
          </cell>
          <cell r="C248">
            <v>3018</v>
          </cell>
          <cell r="D248" t="str">
            <v>30P450174701-501</v>
          </cell>
          <cell r="F248">
            <v>35</v>
          </cell>
          <cell r="G248" t="str">
            <v>חו"ג הגיע ב28/07 ותיק הועבר לייצור</v>
          </cell>
          <cell r="H248">
            <v>46243</v>
          </cell>
        </row>
        <row r="249">
          <cell r="B249" t="str">
            <v>30P450174800-001</v>
          </cell>
          <cell r="C249">
            <v>3018</v>
          </cell>
          <cell r="D249" t="str">
            <v>30P450174901-501</v>
          </cell>
          <cell r="F249">
            <v>32</v>
          </cell>
          <cell r="G249" t="str">
            <v>חו"ג הגיע ב28/07 ותיק הועבר לייצור</v>
          </cell>
          <cell r="H249">
            <v>46251</v>
          </cell>
        </row>
        <row r="250">
          <cell r="B250" t="str">
            <v>PAL1175426-501</v>
          </cell>
          <cell r="C250" t="str">
            <v>LAHAV</v>
          </cell>
          <cell r="D250" t="str">
            <v>דחוף!</v>
          </cell>
          <cell r="F250">
            <v>16</v>
          </cell>
          <cell r="G250" t="str">
            <v>חו"ג הגיע</v>
          </cell>
          <cell r="H250">
            <v>46261</v>
          </cell>
        </row>
        <row r="251">
          <cell r="B251" t="str">
            <v>TNK1105650-008</v>
          </cell>
          <cell r="C251" t="str">
            <v>TNK</v>
          </cell>
          <cell r="F251">
            <v>26</v>
          </cell>
          <cell r="G251" t="str">
            <v>חו"ג הגיע עבר לייצור</v>
          </cell>
          <cell r="H251">
            <v>46264</v>
          </cell>
        </row>
        <row r="252">
          <cell r="B252" t="str">
            <v>30P410173200-001</v>
          </cell>
          <cell r="C252">
            <v>3008</v>
          </cell>
          <cell r="D252" t="str">
            <v xml:space="preserve">‎30P410179700-501‏  </v>
          </cell>
          <cell r="F252">
            <v>18</v>
          </cell>
          <cell r="G252" t="str">
            <v>חו"ג הגיע ועבר לייצור</v>
          </cell>
          <cell r="H252">
            <v>46268</v>
          </cell>
        </row>
        <row r="253">
          <cell r="B253" t="str">
            <v>30P357306500-001</v>
          </cell>
          <cell r="C253">
            <v>3022</v>
          </cell>
          <cell r="D253" t="str">
            <v>30P357306500-501</v>
          </cell>
          <cell r="F253">
            <v>25</v>
          </cell>
          <cell r="G253" t="str">
            <v>חו"ג הגיע -פריט חדש,יש לתכנת</v>
          </cell>
          <cell r="H253">
            <v>46273</v>
          </cell>
        </row>
        <row r="254">
          <cell r="B254" t="str">
            <v>30P410133200-002</v>
          </cell>
          <cell r="C254">
            <v>3008</v>
          </cell>
          <cell r="D254" t="str">
            <v>פעולה 2 - 4 צירים</v>
          </cell>
          <cell r="F254">
            <v>38</v>
          </cell>
          <cell r="G254" t="str">
            <v>חו"ג הגיע ב28/07 ותיק הועבר לייצור</v>
          </cell>
          <cell r="H254">
            <v>46279</v>
          </cell>
        </row>
        <row r="255">
          <cell r="B255" t="str">
            <v>30P410133200-001</v>
          </cell>
          <cell r="C255">
            <v>3009</v>
          </cell>
          <cell r="D255" t="str">
            <v>פעולה 1 5צירים</v>
          </cell>
          <cell r="F255">
            <v>39</v>
          </cell>
          <cell r="G255" t="str">
            <v>חו"ג הגיע ב28/07 ותיק הועבר לייצור</v>
          </cell>
          <cell r="H255">
            <v>46284</v>
          </cell>
        </row>
        <row r="256">
          <cell r="B256" t="str">
            <v>30P410179100-002</v>
          </cell>
          <cell r="C256">
            <v>3019</v>
          </cell>
          <cell r="D256" t="str">
            <v>30P410136000-501</v>
          </cell>
          <cell r="F256">
            <v>35</v>
          </cell>
          <cell r="H256">
            <v>46289</v>
          </cell>
        </row>
        <row r="257">
          <cell r="B257" t="str">
            <v>30P410179100-001</v>
          </cell>
          <cell r="C257">
            <v>3019</v>
          </cell>
          <cell r="D257" t="str">
            <v>30P410136000-501</v>
          </cell>
          <cell r="E257" t="e">
            <v>#VALUE!</v>
          </cell>
          <cell r="F257">
            <v>15</v>
          </cell>
          <cell r="H257">
            <v>46292</v>
          </cell>
        </row>
        <row r="258">
          <cell r="B258" t="str">
            <v>30P410126200-002</v>
          </cell>
          <cell r="C258">
            <v>3015</v>
          </cell>
          <cell r="D258" t="str">
            <v>30P410126002-501</v>
          </cell>
          <cell r="F258">
            <v>24</v>
          </cell>
          <cell r="G258" t="str">
            <v>להזמין חו"ג(יש 3 יח במחסן)</v>
          </cell>
          <cell r="H258">
            <v>46295</v>
          </cell>
        </row>
        <row r="259">
          <cell r="B259" t="str">
            <v>30P410126200-001</v>
          </cell>
          <cell r="C259">
            <v>3015</v>
          </cell>
          <cell r="D259" t="str">
            <v>30P410126002-501</v>
          </cell>
          <cell r="F259">
            <v>24</v>
          </cell>
          <cell r="G259" t="str">
            <v>להזמין חו"ג(יש 3 יח במחסן)</v>
          </cell>
          <cell r="H259">
            <v>46298</v>
          </cell>
        </row>
        <row r="260">
          <cell r="B260" t="str">
            <v>TNK1109850-003</v>
          </cell>
          <cell r="C260" t="str">
            <v>TNK</v>
          </cell>
          <cell r="D260" t="str">
            <v>TNK1109850-505</v>
          </cell>
          <cell r="F260">
            <v>13</v>
          </cell>
          <cell r="G260" t="str">
            <v>יש חו"ג במחסן (לבדוק מלאי)</v>
          </cell>
          <cell r="H260">
            <v>46301</v>
          </cell>
        </row>
        <row r="261">
          <cell r="B261" t="str">
            <v>TNK1105650-013</v>
          </cell>
          <cell r="C261" t="str">
            <v>TNK</v>
          </cell>
          <cell r="F261">
            <v>21</v>
          </cell>
          <cell r="G261" t="str">
            <v>להזמין חו"ג</v>
          </cell>
          <cell r="H261">
            <v>46306</v>
          </cell>
        </row>
        <row r="262">
          <cell r="B262" t="str">
            <v>30P460161100-001</v>
          </cell>
          <cell r="C262">
            <v>3011</v>
          </cell>
          <cell r="D262" t="str">
            <v>30P460161000-501</v>
          </cell>
          <cell r="F262">
            <v>34</v>
          </cell>
          <cell r="H262">
            <v>46309</v>
          </cell>
        </row>
        <row r="263">
          <cell r="B263" t="str">
            <v>30P460161200-001</v>
          </cell>
          <cell r="C263">
            <v>3011</v>
          </cell>
          <cell r="D263" t="str">
            <v>30P460161000-501</v>
          </cell>
          <cell r="F263">
            <v>34</v>
          </cell>
          <cell r="H263">
            <v>46315</v>
          </cell>
        </row>
        <row r="264">
          <cell r="B264" t="str">
            <v>30P460161300-001</v>
          </cell>
          <cell r="C264">
            <v>3011</v>
          </cell>
          <cell r="D264" t="str">
            <v>30P460161000-501</v>
          </cell>
          <cell r="F264">
            <v>34</v>
          </cell>
          <cell r="G264" t="str">
            <v>יש 9 יח במלאי</v>
          </cell>
          <cell r="H264">
            <v>46318</v>
          </cell>
        </row>
        <row r="265">
          <cell r="B265" t="str">
            <v>30P420160101-001</v>
          </cell>
          <cell r="C265">
            <v>3011</v>
          </cell>
          <cell r="D265" t="str">
            <v>30P420160001-501</v>
          </cell>
          <cell r="F265">
            <v>12</v>
          </cell>
          <cell r="H265">
            <v>46321</v>
          </cell>
        </row>
        <row r="266">
          <cell r="B266" t="str">
            <v>30P420160201-001</v>
          </cell>
          <cell r="C266">
            <v>3011</v>
          </cell>
          <cell r="D266" t="str">
            <v>30P420160001-501</v>
          </cell>
          <cell r="F266">
            <v>12</v>
          </cell>
          <cell r="H266">
            <v>46327</v>
          </cell>
        </row>
        <row r="267">
          <cell r="B267" t="str">
            <v>30P420160301-001</v>
          </cell>
          <cell r="C267">
            <v>3011</v>
          </cell>
          <cell r="D267" t="str">
            <v>30P420160001-501</v>
          </cell>
          <cell r="F267">
            <v>12</v>
          </cell>
          <cell r="H267">
            <v>46331</v>
          </cell>
        </row>
        <row r="268">
          <cell r="B268" t="str">
            <v>30P410173100-001</v>
          </cell>
          <cell r="C268">
            <v>3013</v>
          </cell>
          <cell r="D268" t="str">
            <v>30P410179600-501</v>
          </cell>
          <cell r="F268">
            <v>18</v>
          </cell>
          <cell r="G268" t="str">
            <v>להזמין חו"ג</v>
          </cell>
          <cell r="H268">
            <v>46335</v>
          </cell>
        </row>
        <row r="269">
          <cell r="B269" t="str">
            <v>30P460164300-001</v>
          </cell>
          <cell r="C269">
            <v>3015</v>
          </cell>
          <cell r="D269" t="str">
            <v>30P460164000-501</v>
          </cell>
          <cell r="F269">
            <v>30</v>
          </cell>
          <cell r="H269">
            <v>46338</v>
          </cell>
        </row>
        <row r="270">
          <cell r="B270" t="str">
            <v>30P460164200-001</v>
          </cell>
          <cell r="C270">
            <v>3015</v>
          </cell>
          <cell r="D270" t="str">
            <v>30P460164000-501</v>
          </cell>
          <cell r="F270">
            <v>30</v>
          </cell>
          <cell r="H270">
            <v>46342</v>
          </cell>
        </row>
        <row r="271">
          <cell r="B271" t="str">
            <v>30P460164100-001</v>
          </cell>
          <cell r="C271">
            <v>3015</v>
          </cell>
          <cell r="D271" t="str">
            <v>30P460164000-501</v>
          </cell>
          <cell r="F271">
            <v>30</v>
          </cell>
          <cell r="H271">
            <v>46346</v>
          </cell>
        </row>
        <row r="272">
          <cell r="B272" t="str">
            <v>KTR1115854-001</v>
          </cell>
          <cell r="C272" t="str">
            <v>PAL</v>
          </cell>
          <cell r="F272">
            <v>2</v>
          </cell>
          <cell r="G272" t="str">
            <v>בבדיקה -ביטול יתרה</v>
          </cell>
          <cell r="H272">
            <v>46350</v>
          </cell>
        </row>
        <row r="273">
          <cell r="B273" t="str">
            <v>30P331074600-501</v>
          </cell>
          <cell r="C273">
            <v>3017</v>
          </cell>
          <cell r="D273" t="str">
            <v>הזמנות חדשות</v>
          </cell>
          <cell r="F273">
            <v>30</v>
          </cell>
          <cell r="G273" t="str">
            <v>להזמין חו"ג</v>
          </cell>
          <cell r="H273">
            <v>46358</v>
          </cell>
        </row>
        <row r="274">
          <cell r="B274" t="str">
            <v>30P310011100-001</v>
          </cell>
          <cell r="C274">
            <v>3023</v>
          </cell>
          <cell r="D274" t="str">
            <v>הזמנות חדשות</v>
          </cell>
          <cell r="F274">
            <v>25</v>
          </cell>
          <cell r="H274">
            <v>46366</v>
          </cell>
        </row>
        <row r="275">
          <cell r="B275" t="str">
            <v>30P460168000-501</v>
          </cell>
          <cell r="C275">
            <v>3021</v>
          </cell>
          <cell r="D275" t="str">
            <v>ימין</v>
          </cell>
          <cell r="F275">
            <v>24</v>
          </cell>
          <cell r="G275" t="str">
            <v>בהזמנת חו"ג אצל יוסי</v>
          </cell>
          <cell r="H275">
            <v>46370</v>
          </cell>
        </row>
        <row r="276">
          <cell r="B276" t="str">
            <v>‎30P450175100-501‏</v>
          </cell>
          <cell r="C276">
            <v>3017</v>
          </cell>
          <cell r="F276">
            <v>26</v>
          </cell>
          <cell r="H276">
            <v>46375</v>
          </cell>
        </row>
        <row r="277">
          <cell r="B277" t="str">
            <v>30P450177201-002</v>
          </cell>
          <cell r="C277">
            <v>3019</v>
          </cell>
          <cell r="D277" t="str">
            <v>30P450177201-502</v>
          </cell>
          <cell r="F277">
            <v>33</v>
          </cell>
          <cell r="G277" t="str">
            <v>חו"ג הגיע ותיק נמסר לייצור</v>
          </cell>
          <cell r="H277">
            <v>46380</v>
          </cell>
        </row>
        <row r="278">
          <cell r="B278" t="str">
            <v>30P450177201-001</v>
          </cell>
          <cell r="C278">
            <v>3019</v>
          </cell>
          <cell r="D278" t="str">
            <v>30P450177201-501</v>
          </cell>
          <cell r="F278">
            <v>33</v>
          </cell>
          <cell r="G278" t="str">
            <v>חו"ג הגיע ותיק נמסר לייצור</v>
          </cell>
          <cell r="H278">
            <v>46386</v>
          </cell>
        </row>
        <row r="279">
          <cell r="B279" t="str">
            <v>‎30P581601000-501‏</v>
          </cell>
          <cell r="C279">
            <v>3022</v>
          </cell>
          <cell r="D279" t="str">
            <v>הולך 2 יח למטוס</v>
          </cell>
          <cell r="F279">
            <v>52</v>
          </cell>
          <cell r="H279">
            <v>46392</v>
          </cell>
        </row>
        <row r="280">
          <cell r="B280" t="str">
            <v>30P450039100-001</v>
          </cell>
          <cell r="C280">
            <v>3019</v>
          </cell>
          <cell r="F280">
            <v>48</v>
          </cell>
          <cell r="G280" t="str">
            <v>חו"ג הגיע ב04/01</v>
          </cell>
          <cell r="H280">
            <v>46399</v>
          </cell>
        </row>
        <row r="281">
          <cell r="B281" t="str">
            <v>‎30P450197500-001‏</v>
          </cell>
          <cell r="C281">
            <v>3020</v>
          </cell>
          <cell r="D281" t="str">
            <v>הולך 2 יח למטוס אחת</v>
          </cell>
          <cell r="F281">
            <v>58</v>
          </cell>
          <cell r="H281">
            <v>46404</v>
          </cell>
        </row>
        <row r="282">
          <cell r="B282" t="str">
            <v>4AS2830120-503</v>
          </cell>
          <cell r="C282">
            <v>3018</v>
          </cell>
          <cell r="D282" t="str">
            <v>צפי הגעת בושינגים -30/03/26</v>
          </cell>
          <cell r="F282">
            <v>54</v>
          </cell>
          <cell r="G282" t="str">
            <v>בוצע תכנות שלב 1 :5X</v>
          </cell>
          <cell r="H282">
            <v>46411</v>
          </cell>
        </row>
        <row r="283">
          <cell r="B283" t="str">
            <v>30P313140300-001</v>
          </cell>
          <cell r="C283">
            <v>3024</v>
          </cell>
          <cell r="F283">
            <v>96</v>
          </cell>
          <cell r="G283" t="str">
            <v>להזמין חו"ג</v>
          </cell>
          <cell r="H283">
            <v>46419</v>
          </cell>
        </row>
        <row r="284">
          <cell r="B284" t="str">
            <v>‎30P581602000-501‏</v>
          </cell>
          <cell r="C284">
            <v>3028</v>
          </cell>
          <cell r="D284" t="str">
            <v xml:space="preserve">הולך 2 יח למטוס </v>
          </cell>
          <cell r="F284">
            <v>45</v>
          </cell>
          <cell r="G284" t="str">
            <v>להזמין חו"ג</v>
          </cell>
          <cell r="H284">
            <v>46426</v>
          </cell>
        </row>
        <row r="285">
          <cell r="F285" t="str">
            <v xml:space="preserve">  OKUMA  9 חריטה</v>
          </cell>
        </row>
        <row r="286">
          <cell r="B286" t="str">
            <v>מקט</v>
          </cell>
          <cell r="D286" t="str">
            <v>הערות</v>
          </cell>
          <cell r="E286" t="str">
            <v>תמונה</v>
          </cell>
          <cell r="F286" t="str">
            <v>כמות</v>
          </cell>
          <cell r="G286" t="str">
            <v>סטאטוס חו"ג</v>
          </cell>
          <cell r="H286" t="str">
            <v>תאריך התחלה</v>
          </cell>
        </row>
        <row r="287">
          <cell r="B287" t="str">
            <v>4341-1271-001</v>
          </cell>
          <cell r="D287" t="str">
            <v>חריטה+כרסום</v>
          </cell>
          <cell r="F287">
            <v>225</v>
          </cell>
          <cell r="G287" t="str">
            <v>חו"ג הגיע תיק בייצור</v>
          </cell>
          <cell r="H287">
            <v>46252</v>
          </cell>
        </row>
        <row r="288">
          <cell r="B288" t="str">
            <v>23214-000-00</v>
          </cell>
          <cell r="D288" t="str">
            <v>30A2720341-001  בושינגים עבור מקט אבא</v>
          </cell>
          <cell r="F288">
            <v>40</v>
          </cell>
          <cell r="G288" t="str">
            <v>חזר מטיפול טרמי</v>
          </cell>
          <cell r="H288">
            <v>46261</v>
          </cell>
        </row>
        <row r="289">
          <cell r="B289" t="str">
            <v>23252-000-00</v>
          </cell>
          <cell r="D289" t="str">
            <v>30A2720341-001  בושינגים עבור מקט אבא</v>
          </cell>
          <cell r="F289">
            <v>50</v>
          </cell>
          <cell r="G289" t="str">
            <v>חזר מטיפול טרמי</v>
          </cell>
          <cell r="H289">
            <v>46263</v>
          </cell>
        </row>
        <row r="290">
          <cell r="B290" t="str">
            <v>30P450197800-001</v>
          </cell>
          <cell r="C290">
            <v>3010</v>
          </cell>
          <cell r="F290">
            <v>10</v>
          </cell>
          <cell r="G290" t="str">
            <v>פעולה אחרונה אחרי השחזה</v>
          </cell>
          <cell r="H290">
            <v>46268</v>
          </cell>
        </row>
        <row r="291">
          <cell r="B291" t="str">
            <v>30P583610100-001</v>
          </cell>
          <cell r="C291">
            <v>3017</v>
          </cell>
          <cell r="F291">
            <v>32</v>
          </cell>
          <cell r="G291" t="str">
            <v>חזר מכרומט</v>
          </cell>
          <cell r="H291">
            <v>46272</v>
          </cell>
        </row>
        <row r="292">
          <cell r="B292" t="str">
            <v>M1127-1013-001</v>
          </cell>
          <cell r="D292" t="str">
            <v>יתרה</v>
          </cell>
          <cell r="F292">
            <v>41</v>
          </cell>
          <cell r="G292" t="str">
            <v>חזר מכרומט</v>
          </cell>
          <cell r="H292">
            <v>46279</v>
          </cell>
        </row>
        <row r="293">
          <cell r="B293" t="str">
            <v>30P331007300-001</v>
          </cell>
          <cell r="C293">
            <v>3019</v>
          </cell>
          <cell r="F293">
            <v>48</v>
          </cell>
          <cell r="G293" t="str">
            <v>יצא לטיפול טרמי</v>
          </cell>
          <cell r="H293">
            <v>46283</v>
          </cell>
        </row>
        <row r="294">
          <cell r="B294" t="str">
            <v>30P265023000-001</v>
          </cell>
          <cell r="C294">
            <v>3019</v>
          </cell>
          <cell r="F294">
            <v>48</v>
          </cell>
          <cell r="G294" t="str">
            <v>חו"ג הגיע תיק בייצור</v>
          </cell>
          <cell r="H294">
            <v>46290</v>
          </cell>
        </row>
        <row r="295">
          <cell r="B295" t="str">
            <v>30P583610000-001</v>
          </cell>
          <cell r="C295">
            <v>3033</v>
          </cell>
          <cell r="D295" t="str">
            <v>יתרה</v>
          </cell>
          <cell r="F295">
            <v>15</v>
          </cell>
          <cell r="G295" t="str">
            <v>חזר מרולינג להמשך ייצור</v>
          </cell>
          <cell r="H295">
            <v>46295</v>
          </cell>
        </row>
        <row r="296">
          <cell r="B296" t="str">
            <v>30A2720331-001</v>
          </cell>
          <cell r="C296" t="str">
            <v>טכנולוגיות</v>
          </cell>
          <cell r="D296" t="str">
            <v>חריטה+כרסום</v>
          </cell>
          <cell r="F296">
            <v>12</v>
          </cell>
          <cell r="G296" t="str">
            <v>להזמין חו"ג</v>
          </cell>
          <cell r="H296">
            <v>46301</v>
          </cell>
        </row>
        <row r="297">
          <cell r="B297" t="str">
            <v>30A2720314-001</v>
          </cell>
          <cell r="D297" t="str">
            <v>יתרה</v>
          </cell>
          <cell r="F297">
            <v>4</v>
          </cell>
          <cell r="G297" t="str">
            <v>להזמין חו"ג</v>
          </cell>
          <cell r="H297">
            <v>46308</v>
          </cell>
        </row>
        <row r="298">
          <cell r="F298" t="str">
            <v xml:space="preserve"> DOOSAN חריטה 11</v>
          </cell>
        </row>
        <row r="299">
          <cell r="B299" t="str">
            <v>מקט</v>
          </cell>
          <cell r="D299" t="str">
            <v>הערות</v>
          </cell>
          <cell r="E299" t="str">
            <v>תמונה</v>
          </cell>
          <cell r="F299" t="str">
            <v>כמות</v>
          </cell>
          <cell r="G299" t="str">
            <v>סטאטוס חו"ג</v>
          </cell>
          <cell r="H299" t="str">
            <v>תאריך התחלה</v>
          </cell>
        </row>
        <row r="300">
          <cell r="B300" t="str">
            <v>TNK2102301-001</v>
          </cell>
          <cell r="D300" t="str">
            <v>LAHAV</v>
          </cell>
          <cell r="E300" t="e">
            <v>#VALUE!</v>
          </cell>
          <cell r="F300">
            <v>42</v>
          </cell>
          <cell r="G300" t="str">
            <v>חו"ג הגיע ותיק הועבר לייצור</v>
          </cell>
          <cell r="H300">
            <v>46252</v>
          </cell>
        </row>
        <row r="301">
          <cell r="B301" t="str">
            <v>TNK2303302-003</v>
          </cell>
          <cell r="F301">
            <v>22</v>
          </cell>
          <cell r="G301" t="str">
            <v>בעבודה</v>
          </cell>
          <cell r="H301">
            <v>46258</v>
          </cell>
        </row>
        <row r="302">
          <cell r="B302" t="str">
            <v>‎30P581601500-501‏</v>
          </cell>
          <cell r="C302">
            <v>3009</v>
          </cell>
          <cell r="D302" t="str">
            <v>כולל הזמנות חדשות</v>
          </cell>
          <cell r="F302">
            <v>14</v>
          </cell>
          <cell r="G302" t="str">
            <v>אחרי פעולה 1</v>
          </cell>
          <cell r="H302">
            <v>46260</v>
          </cell>
        </row>
        <row r="303">
          <cell r="B303" t="str">
            <v>30P532526400-001</v>
          </cell>
          <cell r="C303">
            <v>3022</v>
          </cell>
          <cell r="F303">
            <v>24</v>
          </cell>
          <cell r="G303" t="str">
            <v>חו"ג הגיע תיק בייצור</v>
          </cell>
          <cell r="H303">
            <v>46263</v>
          </cell>
        </row>
        <row r="304">
          <cell r="B304" t="str">
            <v>SP1M321-5</v>
          </cell>
          <cell r="C304">
            <v>3026</v>
          </cell>
          <cell r="F304">
            <v>648</v>
          </cell>
          <cell r="G304" t="str">
            <v xml:space="preserve">חו"ג הוזמן </v>
          </cell>
          <cell r="H304">
            <v>46268</v>
          </cell>
        </row>
        <row r="305">
          <cell r="B305" t="str">
            <v>SP1M321-4</v>
          </cell>
          <cell r="C305" t="e">
            <v>#N/A</v>
          </cell>
          <cell r="F305">
            <v>540</v>
          </cell>
          <cell r="G305" t="str">
            <v xml:space="preserve">חו"ג הוזמן </v>
          </cell>
          <cell r="H305">
            <v>46275</v>
          </cell>
        </row>
        <row r="306">
          <cell r="F306" t="str">
            <v>חריטה 12 חדש -HAAS</v>
          </cell>
        </row>
        <row r="307">
          <cell r="B307" t="str">
            <v>מקט</v>
          </cell>
          <cell r="D307" t="str">
            <v>הערות</v>
          </cell>
          <cell r="E307" t="str">
            <v>תמונה</v>
          </cell>
          <cell r="F307" t="str">
            <v>כמות</v>
          </cell>
          <cell r="G307" t="str">
            <v>סטאטוס חו"ג</v>
          </cell>
          <cell r="H307" t="str">
            <v>תאריך התחלה</v>
          </cell>
        </row>
        <row r="308">
          <cell r="B308" t="str">
            <v>4341-1066-001</v>
          </cell>
          <cell r="D308" t="str">
            <v>חריטה+כרסום</v>
          </cell>
          <cell r="F308">
            <v>10</v>
          </cell>
          <cell r="G308" t="str">
            <v>בעבודה</v>
          </cell>
          <cell r="H308">
            <v>46258</v>
          </cell>
        </row>
        <row r="309">
          <cell r="B309" t="str">
            <v>UCP-280-17308-000</v>
          </cell>
          <cell r="C309" t="str">
            <v>UCP</v>
          </cell>
          <cell r="D309" t="str">
            <v>דחוף!</v>
          </cell>
          <cell r="F309">
            <v>1</v>
          </cell>
          <cell r="G309" t="str">
            <v>חו"ג הגיע ,תיק עבר לייצור</v>
          </cell>
          <cell r="H309">
            <v>46261</v>
          </cell>
        </row>
        <row r="310">
          <cell r="B310" t="str">
            <v>UCP-280-17304-000</v>
          </cell>
          <cell r="C310" t="str">
            <v>UCP</v>
          </cell>
          <cell r="D310" t="str">
            <v>דחוף!</v>
          </cell>
          <cell r="F310">
            <v>1</v>
          </cell>
          <cell r="G310" t="str">
            <v>חו"ג הגיע תיק בייצור</v>
          </cell>
          <cell r="H310">
            <v>46264</v>
          </cell>
        </row>
        <row r="311">
          <cell r="B311" t="str">
            <v>MCT1233807-001</v>
          </cell>
          <cell r="F311">
            <v>2</v>
          </cell>
          <cell r="G311" t="str">
            <v>בעבודה בחריטה</v>
          </cell>
          <cell r="H311">
            <v>46266</v>
          </cell>
        </row>
        <row r="312">
          <cell r="B312" t="str">
            <v>MCT1233808-001</v>
          </cell>
          <cell r="F312">
            <v>2</v>
          </cell>
          <cell r="G312" t="str">
            <v>בעבודה בחריטה</v>
          </cell>
          <cell r="H312">
            <v>46268</v>
          </cell>
        </row>
        <row r="313">
          <cell r="B313" t="str">
            <v>MCT1233829-001</v>
          </cell>
          <cell r="F313">
            <v>8</v>
          </cell>
          <cell r="G313" t="str">
            <v>בעבודה בחריטה</v>
          </cell>
          <cell r="H313">
            <v>46271</v>
          </cell>
        </row>
        <row r="314">
          <cell r="B314" t="str">
            <v>30A2720103-001</v>
          </cell>
          <cell r="C314" t="str">
            <v>טכנולוגיות</v>
          </cell>
          <cell r="F314">
            <v>45</v>
          </cell>
          <cell r="G314" t="str">
            <v>חו"ג הגיע?</v>
          </cell>
          <cell r="H314">
            <v>46272</v>
          </cell>
        </row>
        <row r="315">
          <cell r="B315" t="str">
            <v>30P141435100-001</v>
          </cell>
          <cell r="C315">
            <v>3019</v>
          </cell>
          <cell r="D315" t="str">
            <v>30P141435000-501</v>
          </cell>
          <cell r="F315">
            <v>36</v>
          </cell>
          <cell r="G315" t="str">
            <v>חזר מטיפול טרמי</v>
          </cell>
          <cell r="H315">
            <v>46280</v>
          </cell>
        </row>
        <row r="316">
          <cell r="B316" t="str">
            <v>TNK2000303-005</v>
          </cell>
          <cell r="F316">
            <v>1</v>
          </cell>
          <cell r="G316" t="str">
            <v>להזמין חומר</v>
          </cell>
          <cell r="H316">
            <v>46286</v>
          </cell>
        </row>
        <row r="317">
          <cell r="B317" t="str">
            <v>KTR1524013-001-PSF</v>
          </cell>
          <cell r="F317">
            <v>22</v>
          </cell>
          <cell r="H317">
            <v>46286</v>
          </cell>
        </row>
        <row r="318">
          <cell r="B318" t="str">
            <v>KTR1523005-001-PSF</v>
          </cell>
          <cell r="F318">
            <v>37</v>
          </cell>
          <cell r="H318">
            <v>46294</v>
          </cell>
        </row>
        <row r="319">
          <cell r="B319" t="str">
            <v>SP1M293-3-8</v>
          </cell>
          <cell r="C319" t="e">
            <v>#N/A</v>
          </cell>
          <cell r="F319">
            <v>14</v>
          </cell>
          <cell r="G319" t="str">
            <v xml:space="preserve">חו"ג הוזמן </v>
          </cell>
          <cell r="H319">
            <v>46301</v>
          </cell>
        </row>
        <row r="320">
          <cell r="B320" t="str">
            <v>TNK2000301-501P</v>
          </cell>
          <cell r="F320">
            <v>7</v>
          </cell>
          <cell r="G320" t="str">
            <v>יתרה</v>
          </cell>
          <cell r="H320">
            <v>46304</v>
          </cell>
        </row>
        <row r="321">
          <cell r="B321" t="str">
            <v>KTR1524026-001</v>
          </cell>
          <cell r="F321">
            <v>4</v>
          </cell>
          <cell r="G321" t="str">
            <v>יתרה</v>
          </cell>
          <cell r="H321">
            <v>46310</v>
          </cell>
        </row>
        <row r="322">
          <cell r="F322" t="str">
            <v>חריטה 13 חדש -CHEVALIER</v>
          </cell>
        </row>
        <row r="323">
          <cell r="B323" t="str">
            <v>מקט</v>
          </cell>
          <cell r="D323" t="str">
            <v>הערות</v>
          </cell>
          <cell r="E323" t="str">
            <v>תמונה</v>
          </cell>
          <cell r="F323" t="str">
            <v>כמות</v>
          </cell>
          <cell r="G323" t="str">
            <v>סטאטוס חו"ג</v>
          </cell>
          <cell r="H323" t="str">
            <v>תאריך התחלה</v>
          </cell>
        </row>
        <row r="324">
          <cell r="B324" t="str">
            <v>30P450190103-001</v>
          </cell>
          <cell r="C324">
            <v>3006</v>
          </cell>
          <cell r="D324" t="str">
            <v>30P450171003-501</v>
          </cell>
          <cell r="F324">
            <v>26</v>
          </cell>
          <cell r="G324" t="str">
            <v xml:space="preserve">חו"ג הגיע נמצא במחסן  -ממתין לבדיקת דגמים </v>
          </cell>
          <cell r="H324">
            <v>46260</v>
          </cell>
        </row>
        <row r="325">
          <cell r="B325" t="str">
            <v>30P450176701-001</v>
          </cell>
          <cell r="C325" t="str">
            <v>דחוף</v>
          </cell>
          <cell r="D325" t="str">
            <v>30P450174701-501</v>
          </cell>
          <cell r="F325">
            <v>62</v>
          </cell>
          <cell r="G325" t="str">
            <v>חו"ג קיים באולם ייצור</v>
          </cell>
          <cell r="H325">
            <v>46263</v>
          </cell>
        </row>
        <row r="326">
          <cell r="B326" t="str">
            <v>30P450176901-001</v>
          </cell>
          <cell r="C326" t="str">
            <v>דחוף</v>
          </cell>
          <cell r="D326" t="str">
            <v>30P450174901-501</v>
          </cell>
          <cell r="F326">
            <v>55</v>
          </cell>
          <cell r="G326" t="str">
            <v>חו"ג קיים באולם ייצור</v>
          </cell>
          <cell r="H326">
            <v>46265</v>
          </cell>
        </row>
        <row r="327">
          <cell r="B327" t="str">
            <v>30P450190303-001</v>
          </cell>
          <cell r="C327">
            <v>3006</v>
          </cell>
          <cell r="D327" t="str">
            <v>30P450171003-501</v>
          </cell>
          <cell r="F327">
            <v>26</v>
          </cell>
          <cell r="G327" t="str">
            <v xml:space="preserve">חו"ג הגיע נמצא במחסן  -ממתין לבדיקת דגמים </v>
          </cell>
          <cell r="H327">
            <v>46267</v>
          </cell>
        </row>
        <row r="328">
          <cell r="B328" t="str">
            <v>30P450190203-001</v>
          </cell>
          <cell r="C328">
            <v>3006</v>
          </cell>
          <cell r="D328" t="str">
            <v>30P450171003-501</v>
          </cell>
          <cell r="F328">
            <v>50</v>
          </cell>
          <cell r="G328" t="str">
            <v xml:space="preserve">חו"ג הגיע נמצא במחסן  -ממתין לבדיקת דגמים </v>
          </cell>
          <cell r="H328">
            <v>46270</v>
          </cell>
        </row>
        <row r="329">
          <cell r="B329" t="str">
            <v>30P583610400-001</v>
          </cell>
          <cell r="C329">
            <v>3028</v>
          </cell>
          <cell r="F329">
            <v>20</v>
          </cell>
          <cell r="G329" t="str">
            <v>חו"ג הגיע נמצא במחסן</v>
          </cell>
          <cell r="H329">
            <v>46273</v>
          </cell>
        </row>
        <row r="330">
          <cell r="B330" t="str">
            <v>30P582601100-001</v>
          </cell>
          <cell r="C330">
            <v>3016</v>
          </cell>
          <cell r="D330" t="str">
            <v>‎30P582601000-501‏</v>
          </cell>
          <cell r="F330">
            <v>40</v>
          </cell>
          <cell r="G330" t="str">
            <v>חו"ג הגיע ותיק הועבר לייצור</v>
          </cell>
          <cell r="H330">
            <v>46278</v>
          </cell>
        </row>
        <row r="331">
          <cell r="B331" t="str">
            <v>4AS2710103-001</v>
          </cell>
          <cell r="C331">
            <v>2342</v>
          </cell>
          <cell r="F331">
            <v>60</v>
          </cell>
          <cell r="G331" t="str">
            <v>יצור מחדש להזמין חומר</v>
          </cell>
          <cell r="H331">
            <v>46281</v>
          </cell>
        </row>
        <row r="332">
          <cell r="B332" t="str">
            <v>30P420166501-001</v>
          </cell>
          <cell r="C332">
            <v>3022</v>
          </cell>
          <cell r="F332">
            <v>17</v>
          </cell>
          <cell r="G332" t="str">
            <v>להזמין חו"ג</v>
          </cell>
          <cell r="H332">
            <v>46284</v>
          </cell>
        </row>
        <row r="333">
          <cell r="B333" t="str">
            <v>30P450196701-001</v>
          </cell>
          <cell r="F333">
            <v>36</v>
          </cell>
          <cell r="G333" t="str">
            <v>להזמין חו"ג</v>
          </cell>
          <cell r="H333">
            <v>46287</v>
          </cell>
        </row>
        <row r="334">
          <cell r="B334" t="str">
            <v>30P420164100-001</v>
          </cell>
          <cell r="C334" t="e">
            <v>#N/A</v>
          </cell>
          <cell r="F334">
            <v>6</v>
          </cell>
          <cell r="G334" t="str">
            <v xml:space="preserve">יתרה 6 </v>
          </cell>
          <cell r="H334">
            <v>46292</v>
          </cell>
        </row>
        <row r="335">
          <cell r="F335" t="str">
            <v>מכונה קונבנציאונלית</v>
          </cell>
        </row>
        <row r="336">
          <cell r="B336" t="str">
            <v>מקט</v>
          </cell>
          <cell r="C336" t="str">
            <v>מס'מטוס/מקט אבא</v>
          </cell>
          <cell r="D336" t="str">
            <v>הערות</v>
          </cell>
          <cell r="E336" t="str">
            <v>תמונה</v>
          </cell>
          <cell r="F336" t="str">
            <v>כמות</v>
          </cell>
          <cell r="G336" t="str">
            <v>סטאטוס חו"ג</v>
          </cell>
          <cell r="H336" t="str">
            <v>תאריך התחלה</v>
          </cell>
        </row>
        <row r="337">
          <cell r="B337" t="str">
            <v>30P357308600-001</v>
          </cell>
          <cell r="C337">
            <v>3020</v>
          </cell>
          <cell r="D337" t="str">
            <v>פלסטיק</v>
          </cell>
          <cell r="F337">
            <v>144</v>
          </cell>
          <cell r="G337" t="str">
            <v>יש לתכנת פריט חדש -חו"ג הגיע והועבר לייצור</v>
          </cell>
          <cell r="H337">
            <v>46348</v>
          </cell>
        </row>
        <row r="338">
          <cell r="B338" t="str">
            <v>30P410190300-001</v>
          </cell>
          <cell r="C338" t="str">
            <v>דחוף - ממתין להרכבה שכבר מוכנה!</v>
          </cell>
          <cell r="D338" t="str">
            <v>אבא 30P410170101</v>
          </cell>
          <cell r="F338">
            <v>66</v>
          </cell>
          <cell r="G338" t="str">
            <v>חו"ג הגיע וחזר מטיפול טרמי</v>
          </cell>
          <cell r="H338">
            <v>46268</v>
          </cell>
        </row>
        <row r="350">
          <cell r="B350" t="str">
            <v>חלקים עתידיים</v>
          </cell>
        </row>
        <row r="351">
          <cell r="B351" t="str">
            <v>30P357307000-501</v>
          </cell>
          <cell r="C351" t="str">
            <v>בבניית ניתוב</v>
          </cell>
          <cell r="D351" t="str">
            <v>זיווד - יש הצעת מחיר מדני - בז</v>
          </cell>
          <cell r="F351">
            <v>4</v>
          </cell>
        </row>
        <row r="352">
          <cell r="B352" t="str">
            <v>30P331076700-501</v>
          </cell>
          <cell r="C352" t="str">
            <v>בבניית ניתוב</v>
          </cell>
          <cell r="D352" t="str">
            <v>בודקים מנדרל לשינון פנימי</v>
          </cell>
          <cell r="F352">
            <v>1</v>
          </cell>
          <cell r="G352" t="str">
            <v>לפי תשובה של אפרים -פריט זה אינו מתאים- אנו לא מבצעים שינוי פנימי</v>
          </cell>
        </row>
        <row r="353">
          <cell r="B353" t="str">
            <v>30P357308500-501</v>
          </cell>
          <cell r="C353" t="str">
            <v>בבניית ניתוב</v>
          </cell>
          <cell r="D353" t="str">
            <v>זיווד - יש הצעת מחיר מדני - בז</v>
          </cell>
          <cell r="F353">
            <v>4</v>
          </cell>
          <cell r="G353" t="str">
            <v>חלק בזיווד - ממתין להצעת מחיר מבז</v>
          </cell>
        </row>
        <row r="354">
          <cell r="B354" t="str">
            <v>30P355140100-501</v>
          </cell>
          <cell r="C354" t="str">
            <v>בבניית ניתוב</v>
          </cell>
          <cell r="D354" t="str">
            <v>זיווד - יש הצעת מחיר מדני - בז</v>
          </cell>
          <cell r="F354">
            <v>4</v>
          </cell>
          <cell r="G354" t="str">
            <v>חלק בזיווד - ממתין להצעת מחיר מבז</v>
          </cell>
        </row>
        <row r="355">
          <cell r="B355" t="str">
            <v>30P355140100-502</v>
          </cell>
          <cell r="C355" t="str">
            <v>בבניית ניתוב</v>
          </cell>
          <cell r="D355" t="str">
            <v>זיווד - יש הצעת מחיר מדני - בז</v>
          </cell>
          <cell r="F355">
            <v>4</v>
          </cell>
          <cell r="G355" t="str">
            <v>חלק בזיווד - ממתין להצעת מחיר מבז</v>
          </cell>
        </row>
        <row r="356">
          <cell r="B356" t="str">
            <v>4AS9910013-001</v>
          </cell>
          <cell r="D356" t="str">
            <v>ממתין לקשיחים</v>
          </cell>
          <cell r="G356" t="str">
            <v>MAKE FROM G-277-3/8X21/2</v>
          </cell>
        </row>
        <row r="357">
          <cell r="B357" t="str">
            <v>4AS9910013-003</v>
          </cell>
          <cell r="D357" t="str">
            <v>ממתין לקשיחים</v>
          </cell>
          <cell r="G357" t="str">
            <v>MAKE FROM G-277-1/2X31/2</v>
          </cell>
        </row>
        <row r="358">
          <cell r="B358" t="str">
            <v>30P355115300-001</v>
          </cell>
          <cell r="C358" t="str">
            <v>פריט זיווד -יש לבטל</v>
          </cell>
          <cell r="D358" t="str">
            <v>זיווד - יש הצעת מחיר מדני - בז</v>
          </cell>
          <cell r="F358">
            <v>4</v>
          </cell>
          <cell r="G358" t="str">
            <v>פריט זיווד -יש לבטל</v>
          </cell>
        </row>
        <row r="359">
          <cell r="B359" t="str">
            <v>30P315495800-001</v>
          </cell>
          <cell r="C359" t="str">
            <v>פריט זיווד -יש לבטל</v>
          </cell>
          <cell r="D359" t="str">
            <v>זיווד - יש הצעת מחיר מדני - בז</v>
          </cell>
          <cell r="F359">
            <v>4</v>
          </cell>
          <cell r="G359" t="str">
            <v>פריט זיווד -יש לבטל</v>
          </cell>
        </row>
        <row r="361">
          <cell r="B361" t="str">
            <v>KTR1261325-001</v>
          </cell>
          <cell r="C361" t="str">
            <v>יתרה 1 יח</v>
          </cell>
          <cell r="D361" t="e">
            <v>#N/A</v>
          </cell>
          <cell r="F361">
            <v>1</v>
          </cell>
          <cell r="G361" t="str">
            <v>יתרה 14 יח</v>
          </cell>
        </row>
        <row r="362">
          <cell r="B362" t="str">
            <v>30A2520482-001</v>
          </cell>
          <cell r="C362" t="str">
            <v>לבטל?</v>
          </cell>
          <cell r="D362" t="e">
            <v>#N/A</v>
          </cell>
          <cell r="F362">
            <v>20</v>
          </cell>
        </row>
        <row r="363">
          <cell r="B363" t="str">
            <v>‎30P420163001-501‏</v>
          </cell>
          <cell r="D363" t="e">
            <v>#N/A</v>
          </cell>
          <cell r="F363">
            <v>1</v>
          </cell>
        </row>
        <row r="364">
          <cell r="B364" t="str">
            <v>30P420166001-501</v>
          </cell>
          <cell r="D364">
            <v>2340</v>
          </cell>
          <cell r="F364">
            <v>2</v>
          </cell>
        </row>
        <row r="365">
          <cell r="B365" t="str">
            <v>30P460161000-501</v>
          </cell>
          <cell r="D365">
            <v>2334</v>
          </cell>
          <cell r="F365">
            <v>30</v>
          </cell>
        </row>
        <row r="366">
          <cell r="B366" t="str">
            <v>30P460162000-501</v>
          </cell>
          <cell r="D366">
            <v>2331</v>
          </cell>
          <cell r="F366">
            <v>30</v>
          </cell>
        </row>
        <row r="367">
          <cell r="B367" t="str">
            <v>‎30P450171900-501‏</v>
          </cell>
          <cell r="D367" t="e">
            <v>#N/A</v>
          </cell>
          <cell r="F367">
            <v>15</v>
          </cell>
        </row>
        <row r="368">
          <cell r="B368" t="str">
            <v>30P450171900-502‏</v>
          </cell>
          <cell r="D368" t="e">
            <v>#N/A</v>
          </cell>
          <cell r="F368">
            <v>11</v>
          </cell>
        </row>
        <row r="369">
          <cell r="B369" t="str">
            <v>‎30P410132002-501‏</v>
          </cell>
          <cell r="D369" t="e">
            <v>#N/A</v>
          </cell>
          <cell r="F369">
            <v>15</v>
          </cell>
        </row>
        <row r="370">
          <cell r="B370" t="str">
            <v>30P410178901-501</v>
          </cell>
          <cell r="D370">
            <v>2333</v>
          </cell>
          <cell r="F370">
            <v>15</v>
          </cell>
        </row>
        <row r="371">
          <cell r="B371" t="str">
            <v>30P460164000-501</v>
          </cell>
          <cell r="D371">
            <v>2333</v>
          </cell>
          <cell r="F371">
            <v>12</v>
          </cell>
        </row>
        <row r="372">
          <cell r="B372" t="str">
            <v>‎30P582601000-501‏</v>
          </cell>
          <cell r="D372" t="e">
            <v>#N/A</v>
          </cell>
          <cell r="F372">
            <v>30</v>
          </cell>
        </row>
        <row r="373">
          <cell r="B373" t="str">
            <v>‎30P410179600-501‏</v>
          </cell>
          <cell r="D373" t="e">
            <v>#N/A</v>
          </cell>
          <cell r="F373">
            <v>11</v>
          </cell>
        </row>
        <row r="374">
          <cell r="B374" t="str">
            <v>30P420160001-501</v>
          </cell>
          <cell r="D374">
            <v>2337</v>
          </cell>
          <cell r="F374">
            <v>12</v>
          </cell>
        </row>
        <row r="375">
          <cell r="B375" t="str">
            <v>‎30P450170101-501‏</v>
          </cell>
          <cell r="D375" t="e">
            <v>#N/A</v>
          </cell>
          <cell r="F375">
            <v>6</v>
          </cell>
        </row>
        <row r="376">
          <cell r="B376" t="str">
            <v>30P450170101-502</v>
          </cell>
          <cell r="F376">
            <v>7</v>
          </cell>
        </row>
        <row r="377">
          <cell r="B377" t="str">
            <v>30A2520117-001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קוביות"/>
      <sheetName val="דוח מימד"/>
      <sheetName val="גרף"/>
    </sheetNames>
    <sheetDataSet>
      <sheetData sheetId="0"/>
      <sheetData sheetId="1">
        <row r="1">
          <cell r="A1" t="str">
            <v>מקרא: צבע בת.הזמנה:</v>
          </cell>
        </row>
        <row r="2">
          <cell r="B2" t="str">
            <v>מאחר באספקה</v>
          </cell>
        </row>
        <row r="3">
          <cell r="B3" t="str">
            <v>אספקה 2026</v>
          </cell>
        </row>
        <row r="4">
          <cell r="A4">
            <v>46388</v>
          </cell>
          <cell r="B4" t="str">
            <v>אספקה2027</v>
          </cell>
        </row>
        <row r="6">
          <cell r="A6" t="str">
            <v>PN</v>
          </cell>
          <cell r="B6" t="str">
            <v>Description</v>
          </cell>
          <cell r="C6" t="str">
            <v xml:space="preserve">מטוס   </v>
          </cell>
          <cell r="D6" t="str">
            <v>מטוס ישן</v>
          </cell>
          <cell r="E6" t="str">
            <v>כמות  מינימום באספקה</v>
          </cell>
          <cell r="F6" t="str">
            <v>כמות למטוס</v>
          </cell>
          <cell r="G6" t="str">
            <v>מטוס מכסה</v>
          </cell>
          <cell r="H6" t="str">
            <v>סוג מכונה</v>
          </cell>
          <cell r="I6" t="str">
            <v>תחילת ייצור</v>
          </cell>
          <cell r="J6" t="str">
            <v>יציאה לתהליכים 1</v>
          </cell>
          <cell r="K6" t="str">
            <v>מועד אספקה תהליכים 1</v>
          </cell>
          <cell r="L6" t="str">
            <v>מועד אספקה מתהליכים</v>
          </cell>
          <cell r="M6" t="str">
            <v>ספק תהליכים</v>
          </cell>
          <cell r="N6" t="str">
            <v>הרכבה</v>
          </cell>
          <cell r="O6" t="str">
            <v>צפי אספקה נכון ל05/08</v>
          </cell>
          <cell r="P6" t="str">
            <v>תאריך הזמנה במערכת</v>
          </cell>
          <cell r="Q6" t="str">
            <v>DDP1</v>
          </cell>
          <cell r="R6" t="str">
            <v>הערות 05/08/26</v>
          </cell>
        </row>
        <row r="7">
          <cell r="A7" t="str">
            <v>30P331038101-501</v>
          </cell>
          <cell r="B7" t="str">
            <v>GUIDE</v>
          </cell>
          <cell r="C7">
            <v>2342</v>
          </cell>
          <cell r="D7">
            <v>2342</v>
          </cell>
          <cell r="E7">
            <v>3</v>
          </cell>
          <cell r="F7">
            <v>1</v>
          </cell>
          <cell r="G7" t="e">
            <v>#REF!</v>
          </cell>
          <cell r="I7">
            <v>46189</v>
          </cell>
          <cell r="J7">
            <v>46216</v>
          </cell>
          <cell r="K7">
            <v>46233</v>
          </cell>
          <cell r="L7" t="str">
            <v>אין</v>
          </cell>
          <cell r="M7" t="str">
            <v>אביג</v>
          </cell>
          <cell r="N7" t="str">
            <v>3-4 ימים</v>
          </cell>
          <cell r="O7">
            <v>46238</v>
          </cell>
          <cell r="P7">
            <v>46159</v>
          </cell>
          <cell r="R7" t="str">
            <v>סופק ב04.08</v>
          </cell>
        </row>
        <row r="8">
          <cell r="A8" t="str">
            <v>30P450025701-001</v>
          </cell>
          <cell r="B8" t="str">
            <v>FORMER 17 LEADING EDGE L.H.S</v>
          </cell>
          <cell r="C8">
            <v>3006</v>
          </cell>
          <cell r="D8">
            <v>3006</v>
          </cell>
          <cell r="E8">
            <v>25</v>
          </cell>
          <cell r="F8">
            <v>1</v>
          </cell>
          <cell r="G8" t="e">
            <v>#REF!</v>
          </cell>
          <cell r="I8">
            <v>46210</v>
          </cell>
          <cell r="J8">
            <v>46222</v>
          </cell>
          <cell r="K8">
            <v>46233</v>
          </cell>
          <cell r="L8" t="str">
            <v>אין</v>
          </cell>
          <cell r="M8" t="str">
            <v>מיקרו צבע</v>
          </cell>
          <cell r="N8" t="str">
            <v>אין</v>
          </cell>
          <cell r="O8">
            <v>46237</v>
          </cell>
          <cell r="P8">
            <v>46183</v>
          </cell>
          <cell r="R8" t="str">
            <v>סופק ב04/08</v>
          </cell>
        </row>
        <row r="9">
          <cell r="A9" t="str">
            <v>32G410124000-501</v>
          </cell>
          <cell r="C9">
            <v>3019</v>
          </cell>
          <cell r="D9">
            <v>3019</v>
          </cell>
          <cell r="E9">
            <v>16</v>
          </cell>
          <cell r="F9">
            <v>1</v>
          </cell>
          <cell r="G9" t="e">
            <v>#REF!</v>
          </cell>
          <cell r="I9" t="str">
            <v>V</v>
          </cell>
          <cell r="J9">
            <v>46260</v>
          </cell>
          <cell r="K9">
            <v>46276</v>
          </cell>
          <cell r="L9">
            <v>46238</v>
          </cell>
          <cell r="M9" t="str">
            <v>לאסק</v>
          </cell>
          <cell r="O9">
            <v>46240</v>
          </cell>
          <cell r="P9">
            <v>46246</v>
          </cell>
          <cell r="R9" t="str">
            <v>סופק 16 יח ב11/08 ו05/08</v>
          </cell>
        </row>
        <row r="10">
          <cell r="A10" t="str">
            <v>30P352132400-501</v>
          </cell>
          <cell r="C10">
            <v>2341</v>
          </cell>
          <cell r="D10">
            <v>2341</v>
          </cell>
          <cell r="E10">
            <v>3</v>
          </cell>
          <cell r="I10">
            <v>46189</v>
          </cell>
          <cell r="J10">
            <v>46194</v>
          </cell>
          <cell r="K10">
            <v>46208</v>
          </cell>
          <cell r="L10">
            <v>46253</v>
          </cell>
          <cell r="M10" t="str">
            <v>מיקרו צבע</v>
          </cell>
          <cell r="O10">
            <v>46254</v>
          </cell>
          <cell r="P10">
            <v>46159</v>
          </cell>
          <cell r="R10" t="str">
            <v>יח2 -הבן 25G3521132-001 יוצא לתהליכים למקרו צבע</v>
          </cell>
        </row>
        <row r="11">
          <cell r="A11" t="str">
            <v>30P410170101-501</v>
          </cell>
          <cell r="B11" t="str">
            <v>FITTING ASSEMBLY LOWER H/S TRIM ACTUATOR</v>
          </cell>
          <cell r="C11">
            <v>2340</v>
          </cell>
          <cell r="D11">
            <v>2340</v>
          </cell>
          <cell r="E11" t="str">
            <v>4+8</v>
          </cell>
          <cell r="I11">
            <v>46152</v>
          </cell>
          <cell r="J11" t="str">
            <v>V</v>
          </cell>
          <cell r="K11" t="str">
            <v>V</v>
          </cell>
          <cell r="L11">
            <v>46251</v>
          </cell>
          <cell r="M11" t="str">
            <v>לאסק</v>
          </cell>
          <cell r="N11" t="str">
            <v>3-4 ימים</v>
          </cell>
          <cell r="O11">
            <v>46252</v>
          </cell>
          <cell r="P11">
            <v>46188</v>
          </cell>
          <cell r="R11" t="str">
            <v>סיים עיבוד במכונה 4 יח ,נמצא בלאסק,יתרה של 8 תהיה מוכנה בתחילת ספטמבר(עקב כך שאחד הבושינגים רק הגיע חומר ומתחיל עבודה)</v>
          </cell>
        </row>
        <row r="12">
          <cell r="A12" t="str">
            <v>30P460164000-501</v>
          </cell>
          <cell r="B12" t="str">
            <v>HINGE ASSY</v>
          </cell>
          <cell r="C12">
            <v>2340</v>
          </cell>
          <cell r="D12">
            <v>2340</v>
          </cell>
          <cell r="E12">
            <v>18</v>
          </cell>
          <cell r="I12">
            <v>46194</v>
          </cell>
          <cell r="J12">
            <v>46219</v>
          </cell>
          <cell r="K12">
            <v>46264</v>
          </cell>
          <cell r="M12" t="str">
            <v>תעשייה אווירית 30P460164100-001 - לפי רומן מגיע רק ב30/08!!!חייבים לקדם</v>
          </cell>
          <cell r="O12">
            <v>46271</v>
          </cell>
          <cell r="P12">
            <v>46172</v>
          </cell>
          <cell r="Q12" t="str">
            <v>DDP1</v>
          </cell>
          <cell r="R12" t="str">
            <v>יצא לתהליכים בתעשייה אווירית-30P460164100-001 18יח</v>
          </cell>
        </row>
        <row r="13">
          <cell r="A13" t="str">
            <v>30P450194101-501</v>
          </cell>
          <cell r="C13">
            <v>2340</v>
          </cell>
          <cell r="D13">
            <v>2340</v>
          </cell>
          <cell r="E13">
            <v>13</v>
          </cell>
          <cell r="F13">
            <v>1</v>
          </cell>
          <cell r="G13" t="e">
            <v>#REF!</v>
          </cell>
          <cell r="I13">
            <v>46175</v>
          </cell>
          <cell r="J13">
            <v>46194</v>
          </cell>
          <cell r="K13">
            <v>46219</v>
          </cell>
          <cell r="L13">
            <v>46253</v>
          </cell>
          <cell r="O13">
            <v>46254</v>
          </cell>
          <cell r="P13">
            <v>46201</v>
          </cell>
          <cell r="R13" t="str">
            <v>יצא להשחזה -אולטרא -11/08 ,וב13/08 יוצא לקדיום  מיד אחרי השחזה</v>
          </cell>
        </row>
        <row r="14">
          <cell r="A14" t="str">
            <v>30P450170101-501</v>
          </cell>
          <cell r="B14" t="str">
            <v>FITTING 1 HSTA UPPER ATTACH FRONT ASSY L</v>
          </cell>
          <cell r="C14">
            <v>2341</v>
          </cell>
          <cell r="D14">
            <v>2341</v>
          </cell>
          <cell r="E14">
            <v>1</v>
          </cell>
          <cell r="I14" t="str">
            <v>V</v>
          </cell>
          <cell r="J14" t="str">
            <v>נמצא בתיקון</v>
          </cell>
          <cell r="O14">
            <v>46246</v>
          </cell>
          <cell r="P14">
            <v>46142</v>
          </cell>
          <cell r="R14" t="str">
            <v>עיבוד סופי במכונה ואז מכירה,ולאחר מכן צריך להזמין מבקר חיצוני</v>
          </cell>
        </row>
        <row r="15">
          <cell r="A15" t="str">
            <v>30P450170101-501</v>
          </cell>
          <cell r="B15" t="str">
            <v>FITTING 1 HSTA UPPER ATTACH FRONT ASSY L</v>
          </cell>
          <cell r="C15">
            <v>2342</v>
          </cell>
          <cell r="D15">
            <v>2342</v>
          </cell>
          <cell r="E15">
            <v>25</v>
          </cell>
          <cell r="I15">
            <v>46246</v>
          </cell>
          <cell r="J15">
            <v>46258</v>
          </cell>
          <cell r="K15">
            <v>46275</v>
          </cell>
          <cell r="O15">
            <v>46280</v>
          </cell>
          <cell r="P15">
            <v>46142</v>
          </cell>
          <cell r="R15" t="str">
            <v>בעבודה</v>
          </cell>
        </row>
        <row r="16">
          <cell r="A16" t="str">
            <v>30P310255000-501</v>
          </cell>
          <cell r="C16">
            <v>2341</v>
          </cell>
          <cell r="D16">
            <v>2341</v>
          </cell>
          <cell r="E16">
            <v>2</v>
          </cell>
          <cell r="I16">
            <v>46188</v>
          </cell>
          <cell r="J16">
            <v>46210</v>
          </cell>
          <cell r="K16">
            <v>46212</v>
          </cell>
          <cell r="L16">
            <v>46261</v>
          </cell>
          <cell r="M16" t="str">
            <v>תעשייה אווירית -צפי סיום לפי רומן ב27.08</v>
          </cell>
          <cell r="O16">
            <v>46265</v>
          </cell>
          <cell r="P16">
            <v>46156</v>
          </cell>
          <cell r="R16" t="str">
            <v>יצא לתהליכים</v>
          </cell>
        </row>
        <row r="17">
          <cell r="A17" t="str">
            <v>30P315533000-501</v>
          </cell>
          <cell r="B17" t="str">
            <v>BEAM WL 1654 LHS ASSY</v>
          </cell>
          <cell r="C17">
            <v>2341</v>
          </cell>
          <cell r="D17">
            <v>2341</v>
          </cell>
          <cell r="E17">
            <v>2</v>
          </cell>
          <cell r="F17">
            <v>1</v>
          </cell>
          <cell r="G17" t="e">
            <v>#REF!</v>
          </cell>
          <cell r="I17" t="str">
            <v>V</v>
          </cell>
          <cell r="J17" t="str">
            <v>V</v>
          </cell>
          <cell r="K17" t="str">
            <v>V</v>
          </cell>
          <cell r="L17">
            <v>46273</v>
          </cell>
          <cell r="M17" t="str">
            <v>כנפית</v>
          </cell>
          <cell r="N17" t="str">
            <v>3-4 ימים</v>
          </cell>
          <cell r="O17">
            <v>46275</v>
          </cell>
          <cell r="P17">
            <v>46172</v>
          </cell>
          <cell r="Q17" t="str">
            <v>DDP1</v>
          </cell>
          <cell r="R17" t="str">
            <v>נשלחה הזמנה לכנפית - 3 בנים -צפי סיום לפי כנפית - 08.09</v>
          </cell>
        </row>
        <row r="18">
          <cell r="A18" t="str">
            <v>4AS3360547-501</v>
          </cell>
          <cell r="C18">
            <v>2341</v>
          </cell>
          <cell r="D18">
            <v>2341</v>
          </cell>
          <cell r="E18">
            <v>29</v>
          </cell>
          <cell r="F18">
            <v>1</v>
          </cell>
          <cell r="G18" t="e">
            <v>#REF!</v>
          </cell>
          <cell r="I18">
            <v>46215</v>
          </cell>
          <cell r="J18">
            <v>46222</v>
          </cell>
          <cell r="K18">
            <v>46244</v>
          </cell>
          <cell r="M18" t="str">
            <v>מיקרו צבע</v>
          </cell>
          <cell r="N18" t="str">
            <v>3-4 ימים</v>
          </cell>
          <cell r="O18">
            <v>46271</v>
          </cell>
          <cell r="P18">
            <v>46364</v>
          </cell>
          <cell r="R18" t="str">
            <v>ממתין לקשיח -MS9105-31 ,לאחר בדיקה-צפי הגעת קשיח 04/09</v>
          </cell>
        </row>
        <row r="19">
          <cell r="A19" t="str">
            <v>30P315631300-001</v>
          </cell>
          <cell r="B19" t="str">
            <v>SPACER TEFLON</v>
          </cell>
          <cell r="C19">
            <v>2342</v>
          </cell>
          <cell r="D19">
            <v>2340</v>
          </cell>
          <cell r="E19">
            <v>12</v>
          </cell>
          <cell r="F19">
            <v>1</v>
          </cell>
          <cell r="G19" t="e">
            <v>#REF!</v>
          </cell>
          <cell r="I19">
            <v>46040</v>
          </cell>
          <cell r="J19">
            <v>46058</v>
          </cell>
          <cell r="K19" t="str">
            <v>V</v>
          </cell>
          <cell r="L19" t="str">
            <v>אין</v>
          </cell>
          <cell r="M19" t="str">
            <v>V</v>
          </cell>
          <cell r="N19" t="str">
            <v>אין</v>
          </cell>
          <cell r="O19" t="str">
            <v>סקר נכשל ,בהזמנת חו"ג בעובי מתאים</v>
          </cell>
          <cell r="P19">
            <v>46219</v>
          </cell>
          <cell r="Q19" t="str">
            <v>DDP1</v>
          </cell>
          <cell r="R19" t="str">
            <v>בבדיקה של אלון לגבי השגה של חומר גלם</v>
          </cell>
        </row>
        <row r="20">
          <cell r="A20" t="str">
            <v>30P331026600-005</v>
          </cell>
          <cell r="B20" t="str">
            <v>CONTOURED WASHER</v>
          </cell>
          <cell r="C20">
            <v>2342</v>
          </cell>
          <cell r="D20">
            <v>2342</v>
          </cell>
          <cell r="E20">
            <v>13</v>
          </cell>
          <cell r="F20">
            <v>1</v>
          </cell>
          <cell r="G20" t="e">
            <v>#REF!</v>
          </cell>
          <cell r="I20">
            <v>46183</v>
          </cell>
          <cell r="J20">
            <v>46189</v>
          </cell>
          <cell r="K20">
            <v>46244</v>
          </cell>
          <cell r="L20" t="str">
            <v>אין</v>
          </cell>
          <cell r="M20" t="str">
            <v>חלקים מוכנים בתעשייה אווירית ,מוכן לאיסוף</v>
          </cell>
          <cell r="N20" t="str">
            <v>אין</v>
          </cell>
          <cell r="O20">
            <v>46246</v>
          </cell>
          <cell r="P20">
            <v>46174</v>
          </cell>
          <cell r="Q20" t="str">
            <v>DDP1</v>
          </cell>
          <cell r="R20" t="str">
            <v>ביקורת למכירה</v>
          </cell>
        </row>
        <row r="21">
          <cell r="A21" t="str">
            <v>30P410114100-001</v>
          </cell>
          <cell r="B21" t="str">
            <v>RIB 0 FRONT LOWER SHEAR DECK</v>
          </cell>
          <cell r="C21">
            <v>2342</v>
          </cell>
          <cell r="D21">
            <v>2342</v>
          </cell>
          <cell r="E21">
            <v>1</v>
          </cell>
          <cell r="F21">
            <v>1</v>
          </cell>
          <cell r="G21" t="e">
            <v>#REF!</v>
          </cell>
          <cell r="I21">
            <v>46195</v>
          </cell>
          <cell r="J21">
            <v>46203</v>
          </cell>
          <cell r="K21">
            <v>46264</v>
          </cell>
          <cell r="M21" t="str">
            <v>תעשייה אווירית - לפי רומן צפי סיום ב30/08 -נשלח לתהליכים ב30/06!</v>
          </cell>
          <cell r="O21">
            <v>46265</v>
          </cell>
          <cell r="P21">
            <v>46162</v>
          </cell>
          <cell r="Q21" t="str">
            <v>DDP1</v>
          </cell>
          <cell r="R21" t="str">
            <v>נשלח לתעשייה אווירית ב05/07</v>
          </cell>
        </row>
        <row r="22">
          <cell r="A22" t="str">
            <v>30P420163001-501</v>
          </cell>
          <cell r="B22" t="str">
            <v>FITTING ASSEMBLY CENTER HINGE</v>
          </cell>
          <cell r="C22">
            <v>2342</v>
          </cell>
          <cell r="D22">
            <v>2342</v>
          </cell>
          <cell r="E22">
            <v>15</v>
          </cell>
          <cell r="I22">
            <v>46177</v>
          </cell>
          <cell r="J22">
            <v>46219</v>
          </cell>
          <cell r="K22">
            <v>46264</v>
          </cell>
          <cell r="M22" t="str">
            <v>תעשייה אווירית-/163201/163301/30P420163101-001 לפי רומן צפי סיום 30.08 ועוד 2 בנים -צפי סיום 30.08</v>
          </cell>
          <cell r="O22">
            <v>46273</v>
          </cell>
          <cell r="P22">
            <v>46185</v>
          </cell>
          <cell r="Q22" t="str">
            <v>DDP1</v>
          </cell>
          <cell r="R22" t="str">
            <v>חלק בן יצא לתהליכים30P420163101-001  ועוד 2 בנים גם יצאו לתהליכים -30P420163201-001/30P420163301-001</v>
          </cell>
        </row>
        <row r="23">
          <cell r="A23" t="str">
            <v>30P460162000-501</v>
          </cell>
          <cell r="B23" t="str">
            <v>FITTING CENTER HINGE ASSEMBLY</v>
          </cell>
          <cell r="C23">
            <v>2342</v>
          </cell>
          <cell r="D23">
            <v>2342</v>
          </cell>
          <cell r="I23">
            <v>46245</v>
          </cell>
          <cell r="J23">
            <v>46257</v>
          </cell>
          <cell r="K23">
            <v>46273</v>
          </cell>
          <cell r="M23">
            <v>0</v>
          </cell>
          <cell r="O23">
            <v>46279</v>
          </cell>
          <cell r="P23">
            <v>46233</v>
          </cell>
          <cell r="R23" t="str">
            <v>בעבודה בייצור</v>
          </cell>
        </row>
        <row r="24">
          <cell r="A24" t="str">
            <v>30P410178901-501</v>
          </cell>
          <cell r="B24" t="str">
            <v>FITTING ASSEMBLY LOWER RUDDER HINGE</v>
          </cell>
          <cell r="C24">
            <v>3005</v>
          </cell>
          <cell r="D24">
            <v>3005</v>
          </cell>
          <cell r="E24">
            <v>12</v>
          </cell>
          <cell r="I24">
            <v>46252</v>
          </cell>
          <cell r="J24">
            <v>46259</v>
          </cell>
          <cell r="K24">
            <v>46275</v>
          </cell>
          <cell r="M24">
            <v>0</v>
          </cell>
          <cell r="O24">
            <v>46280</v>
          </cell>
          <cell r="P24">
            <v>46264</v>
          </cell>
          <cell r="R24">
            <v>0</v>
          </cell>
        </row>
        <row r="25">
          <cell r="A25" t="str">
            <v>30P450171900-501</v>
          </cell>
          <cell r="B25" t="str">
            <v>FITTING ASSY FRONT ELEVATOR ACTUATOR L.H</v>
          </cell>
          <cell r="C25">
            <v>3006</v>
          </cell>
          <cell r="D25">
            <v>3006</v>
          </cell>
          <cell r="E25">
            <v>12</v>
          </cell>
          <cell r="F25">
            <v>1</v>
          </cell>
          <cell r="G25" t="e">
            <v>#REF!</v>
          </cell>
          <cell r="I25">
            <v>46257</v>
          </cell>
          <cell r="J25">
            <v>46265</v>
          </cell>
          <cell r="K25">
            <v>46281</v>
          </cell>
          <cell r="M25">
            <v>0</v>
          </cell>
          <cell r="O25">
            <v>46287</v>
          </cell>
          <cell r="P25">
            <v>46204</v>
          </cell>
          <cell r="R25" t="str">
            <v>בעבודה</v>
          </cell>
        </row>
        <row r="26">
          <cell r="A26" t="str">
            <v>30P450171003-501</v>
          </cell>
          <cell r="B26" t="str">
            <v>PIVOT FITTING ASSEMBLY H/S</v>
          </cell>
          <cell r="C26">
            <v>3006</v>
          </cell>
          <cell r="D26">
            <v>3006</v>
          </cell>
          <cell r="E26">
            <v>12</v>
          </cell>
          <cell r="I26">
            <v>46257</v>
          </cell>
          <cell r="J26">
            <v>46282</v>
          </cell>
          <cell r="K26">
            <v>46298</v>
          </cell>
          <cell r="M26">
            <v>0</v>
          </cell>
          <cell r="O26">
            <v>46304</v>
          </cell>
          <cell r="P26">
            <v>46203</v>
          </cell>
          <cell r="R26">
            <v>0</v>
          </cell>
        </row>
        <row r="27">
          <cell r="A27" t="str">
            <v>30P410178702-501</v>
          </cell>
          <cell r="B27" t="str">
            <v>FITTING ASSEMBLY MIDDLE RUDDER HINGE</v>
          </cell>
          <cell r="C27">
            <v>3006</v>
          </cell>
          <cell r="D27">
            <v>3006</v>
          </cell>
          <cell r="E27">
            <v>10</v>
          </cell>
          <cell r="F27">
            <v>1</v>
          </cell>
          <cell r="G27" t="e">
            <v>#REF!</v>
          </cell>
          <cell r="I27">
            <v>46197</v>
          </cell>
          <cell r="J27" t="str">
            <v>V</v>
          </cell>
          <cell r="K27">
            <v>46239</v>
          </cell>
          <cell r="M27" t="str">
            <v>לפי רומן צפי סיום - 05/08</v>
          </cell>
          <cell r="O27">
            <v>46280</v>
          </cell>
          <cell r="P27">
            <v>46191</v>
          </cell>
          <cell r="Q27" t="str">
            <v>DDP1</v>
          </cell>
          <cell r="R27" t="str">
            <v>חזר מתהליכים בן * 30P410173800-001* בן השני לפני פעולה2 5 צירים-30P410173701-001 -ב11/08 נכנס לייצור</v>
          </cell>
        </row>
        <row r="28">
          <cell r="A28" t="str">
            <v>30P450171900-502</v>
          </cell>
          <cell r="B28" t="str">
            <v>FITTING ASSY FRONT ELEVATOR ACTUATOR R.H</v>
          </cell>
          <cell r="C28">
            <v>3007</v>
          </cell>
          <cell r="D28">
            <v>3007</v>
          </cell>
          <cell r="I28">
            <v>46225</v>
          </cell>
          <cell r="J28">
            <v>46251</v>
          </cell>
          <cell r="K28">
            <v>46267</v>
          </cell>
          <cell r="M28">
            <v>0</v>
          </cell>
          <cell r="O28">
            <v>46274</v>
          </cell>
          <cell r="P28">
            <v>46203</v>
          </cell>
          <cell r="R28">
            <v>0</v>
          </cell>
        </row>
        <row r="29">
          <cell r="A29" t="str">
            <v>30P410118002-501</v>
          </cell>
          <cell r="B29" t="str">
            <v>REAR RIB 2 ASSEMBLY</v>
          </cell>
          <cell r="C29">
            <v>3008</v>
          </cell>
          <cell r="D29">
            <v>3008</v>
          </cell>
          <cell r="E29">
            <v>16</v>
          </cell>
          <cell r="G29" t="e">
            <v>#REF!</v>
          </cell>
          <cell r="I29">
            <v>46161</v>
          </cell>
          <cell r="J29" t="str">
            <v>V</v>
          </cell>
          <cell r="K29" t="str">
            <v>TBD</v>
          </cell>
          <cell r="M29" t="str">
            <v>תעשייה אווירית - לפי תשובה מרומן מ10/08 -צפי סיום 27.08</v>
          </cell>
          <cell r="O29">
            <v>46270</v>
          </cell>
          <cell r="P29">
            <v>46174</v>
          </cell>
          <cell r="R29" t="str">
            <v>חלקים יצאו-בן 30P410118101-001 לתהליכים</v>
          </cell>
        </row>
        <row r="30">
          <cell r="A30" t="str">
            <v>30P410179700-501</v>
          </cell>
          <cell r="B30" t="str">
            <v>FITTING 2 ASSY, RUDDER</v>
          </cell>
          <cell r="C30">
            <v>3008</v>
          </cell>
          <cell r="D30">
            <v>3008</v>
          </cell>
          <cell r="E30">
            <v>12</v>
          </cell>
          <cell r="I30">
            <v>46274</v>
          </cell>
          <cell r="J30">
            <v>46281</v>
          </cell>
          <cell r="K30">
            <v>46297</v>
          </cell>
          <cell r="M30">
            <v>0</v>
          </cell>
          <cell r="O30">
            <v>46300</v>
          </cell>
          <cell r="P30">
            <v>46180</v>
          </cell>
          <cell r="R30">
            <v>0</v>
          </cell>
        </row>
        <row r="31">
          <cell r="A31" t="str">
            <v>30P460168000-502</v>
          </cell>
          <cell r="B31" t="str">
            <v>FITTING ACTUATOR LINK ASSEMBLY</v>
          </cell>
          <cell r="C31">
            <v>3008</v>
          </cell>
          <cell r="D31">
            <v>3008</v>
          </cell>
          <cell r="E31">
            <v>12</v>
          </cell>
          <cell r="F31">
            <v>1</v>
          </cell>
          <cell r="G31" t="e">
            <v>#REF!</v>
          </cell>
          <cell r="I31">
            <v>46247</v>
          </cell>
          <cell r="J31">
            <v>46253</v>
          </cell>
          <cell r="K31">
            <v>46269</v>
          </cell>
          <cell r="L31" t="str">
            <v>אין</v>
          </cell>
          <cell r="M31">
            <v>0</v>
          </cell>
          <cell r="N31" t="str">
            <v>3-4 ימים</v>
          </cell>
          <cell r="O31">
            <v>46272</v>
          </cell>
          <cell r="P31">
            <v>46181</v>
          </cell>
          <cell r="R31">
            <v>0</v>
          </cell>
        </row>
        <row r="32">
          <cell r="A32" t="str">
            <v>30P410133200-002</v>
          </cell>
          <cell r="B32" t="str">
            <v>ANGLE 2 RIB 10 REAR</v>
          </cell>
          <cell r="C32">
            <v>3008</v>
          </cell>
          <cell r="D32">
            <v>3008</v>
          </cell>
          <cell r="E32">
            <v>12</v>
          </cell>
          <cell r="F32">
            <v>1</v>
          </cell>
          <cell r="G32" t="e">
            <v>#REF!</v>
          </cell>
          <cell r="I32">
            <v>46266</v>
          </cell>
          <cell r="J32">
            <v>46271</v>
          </cell>
          <cell r="K32">
            <v>46287</v>
          </cell>
          <cell r="L32" t="str">
            <v>אין</v>
          </cell>
          <cell r="M32">
            <v>0</v>
          </cell>
          <cell r="N32" t="str">
            <v>אין</v>
          </cell>
          <cell r="O32">
            <v>46290</v>
          </cell>
          <cell r="P32">
            <v>46167</v>
          </cell>
          <cell r="R32">
            <v>0</v>
          </cell>
        </row>
        <row r="33">
          <cell r="A33" t="str">
            <v>30P581601500-501</v>
          </cell>
          <cell r="B33" t="str">
            <v>ARM ASSY - IDLER</v>
          </cell>
          <cell r="C33">
            <v>3009</v>
          </cell>
          <cell r="D33">
            <v>3009</v>
          </cell>
          <cell r="E33">
            <v>12</v>
          </cell>
          <cell r="F33">
            <v>1</v>
          </cell>
          <cell r="G33" t="e">
            <v>#REF!</v>
          </cell>
          <cell r="I33">
            <v>46233</v>
          </cell>
          <cell r="J33">
            <v>46247</v>
          </cell>
          <cell r="K33">
            <v>46263</v>
          </cell>
          <cell r="L33" t="str">
            <v>אין</v>
          </cell>
          <cell r="M33">
            <v>0</v>
          </cell>
          <cell r="N33" t="str">
            <v>3-4 ימים</v>
          </cell>
          <cell r="O33">
            <v>46266</v>
          </cell>
          <cell r="P33">
            <v>46191</v>
          </cell>
          <cell r="R33" t="str">
            <v>בעבודה</v>
          </cell>
        </row>
        <row r="34">
          <cell r="A34" t="str">
            <v>30P410133200-001</v>
          </cell>
          <cell r="B34" t="str">
            <v>ANGLE 1 RIB 10 REAR</v>
          </cell>
          <cell r="C34">
            <v>3009</v>
          </cell>
          <cell r="D34">
            <v>3009</v>
          </cell>
          <cell r="E34">
            <v>12</v>
          </cell>
          <cell r="F34">
            <v>1</v>
          </cell>
          <cell r="G34" t="e">
            <v>#REF!</v>
          </cell>
          <cell r="I34">
            <v>46271</v>
          </cell>
          <cell r="J34">
            <v>46276</v>
          </cell>
          <cell r="K34">
            <v>46292</v>
          </cell>
          <cell r="L34" t="str">
            <v>אין</v>
          </cell>
          <cell r="M34">
            <v>0</v>
          </cell>
          <cell r="N34" t="str">
            <v>אין</v>
          </cell>
          <cell r="O34">
            <v>46295</v>
          </cell>
          <cell r="P34">
            <v>46355</v>
          </cell>
          <cell r="R34">
            <v>0</v>
          </cell>
        </row>
        <row r="35">
          <cell r="A35" t="str">
            <v>30P450173200-001</v>
          </cell>
          <cell r="B35" t="str">
            <v>FITTING 2 FLIGHT CONTROL ATTACH L.H.S</v>
          </cell>
          <cell r="C35">
            <v>3009</v>
          </cell>
          <cell r="D35">
            <v>3009</v>
          </cell>
          <cell r="E35">
            <v>12</v>
          </cell>
          <cell r="F35">
            <v>1</v>
          </cell>
          <cell r="G35" t="e">
            <v>#REF!</v>
          </cell>
          <cell r="I35">
            <v>46253</v>
          </cell>
          <cell r="J35">
            <v>46258</v>
          </cell>
          <cell r="K35">
            <v>46274</v>
          </cell>
          <cell r="M35">
            <v>0</v>
          </cell>
          <cell r="O35">
            <v>46277</v>
          </cell>
          <cell r="P35">
            <v>46201</v>
          </cell>
          <cell r="R35">
            <v>0</v>
          </cell>
        </row>
        <row r="36">
          <cell r="A36" t="str">
            <v>30P450170101-502</v>
          </cell>
          <cell r="B36" t="str">
            <v>FITTING 1 HSTA UPPER ATTACH FRONT ASSY R</v>
          </cell>
          <cell r="C36">
            <v>3009</v>
          </cell>
          <cell r="D36">
            <v>3009</v>
          </cell>
          <cell r="I36">
            <v>46253</v>
          </cell>
          <cell r="J36">
            <v>46260</v>
          </cell>
          <cell r="K36">
            <v>46276</v>
          </cell>
          <cell r="M36">
            <v>0</v>
          </cell>
          <cell r="O36">
            <v>46279</v>
          </cell>
          <cell r="P36">
            <v>46201</v>
          </cell>
          <cell r="R36">
            <v>0</v>
          </cell>
        </row>
        <row r="37">
          <cell r="A37" t="str">
            <v>30P783455600-501</v>
          </cell>
          <cell r="B37" t="str">
            <v>CABIN TEMP SENSOR HOUSING ASSY. (3.0 )</v>
          </cell>
          <cell r="C37">
            <v>3009</v>
          </cell>
          <cell r="D37">
            <v>3009</v>
          </cell>
          <cell r="E37">
            <v>12</v>
          </cell>
          <cell r="F37">
            <v>1</v>
          </cell>
          <cell r="G37" t="e">
            <v>#REF!</v>
          </cell>
          <cell r="I37">
            <v>46245</v>
          </cell>
          <cell r="J37">
            <v>46252</v>
          </cell>
          <cell r="K37">
            <v>46268</v>
          </cell>
          <cell r="M37">
            <v>0</v>
          </cell>
          <cell r="O37">
            <v>46272</v>
          </cell>
          <cell r="P37">
            <v>46203</v>
          </cell>
          <cell r="R37" t="str">
            <v>נמצא בעבודה</v>
          </cell>
        </row>
        <row r="38">
          <cell r="A38" t="str">
            <v>30P450197800-001</v>
          </cell>
          <cell r="B38" t="str">
            <v>RETAINER PIN PIVOT</v>
          </cell>
          <cell r="C38">
            <v>3010</v>
          </cell>
          <cell r="D38">
            <v>3010</v>
          </cell>
          <cell r="E38">
            <v>15</v>
          </cell>
          <cell r="I38" t="str">
            <v>V</v>
          </cell>
          <cell r="J38">
            <v>46251</v>
          </cell>
          <cell r="K38">
            <v>46272</v>
          </cell>
          <cell r="M38">
            <v>0</v>
          </cell>
          <cell r="O38">
            <v>46275</v>
          </cell>
          <cell r="P38">
            <v>46203</v>
          </cell>
          <cell r="R38" t="str">
            <v>בעבודה</v>
          </cell>
        </row>
        <row r="39">
          <cell r="A39" t="str">
            <v>30P357207500-501</v>
          </cell>
          <cell r="B39" t="str">
            <v>SUPPORT ASSY  1.5IN CLAMP-ECS  AFT</v>
          </cell>
          <cell r="C39">
            <v>3011</v>
          </cell>
          <cell r="D39">
            <v>3011</v>
          </cell>
          <cell r="E39">
            <v>52</v>
          </cell>
          <cell r="F39">
            <v>1</v>
          </cell>
          <cell r="G39" t="e">
            <v>#REF!</v>
          </cell>
          <cell r="H39" t="str">
            <v>4 צירים</v>
          </cell>
          <cell r="I39" t="str">
            <v>V</v>
          </cell>
          <cell r="J39" t="str">
            <v>V</v>
          </cell>
          <cell r="K39">
            <v>46252</v>
          </cell>
          <cell r="M39" t="str">
            <v>אביג</v>
          </cell>
          <cell r="N39" t="str">
            <v>3-4 ימים</v>
          </cell>
          <cell r="O39">
            <v>46256</v>
          </cell>
          <cell r="P39">
            <v>46320</v>
          </cell>
          <cell r="R39" t="str">
            <v>בתהליכים</v>
          </cell>
        </row>
        <row r="40">
          <cell r="A40" t="str">
            <v>30P420160001-501</v>
          </cell>
          <cell r="B40" t="str">
            <v>FITTING, UPPER</v>
          </cell>
          <cell r="C40">
            <v>3011</v>
          </cell>
          <cell r="D40">
            <v>3011</v>
          </cell>
          <cell r="E40">
            <v>15</v>
          </cell>
          <cell r="I40">
            <v>46297</v>
          </cell>
          <cell r="J40">
            <v>46302</v>
          </cell>
          <cell r="K40">
            <v>46318</v>
          </cell>
          <cell r="M40">
            <v>0</v>
          </cell>
          <cell r="O40">
            <v>46321</v>
          </cell>
          <cell r="P40">
            <v>46313</v>
          </cell>
          <cell r="R40">
            <v>0</v>
          </cell>
        </row>
        <row r="41">
          <cell r="A41" t="str">
            <v>30P460161000-501</v>
          </cell>
          <cell r="C41">
            <v>3011</v>
          </cell>
          <cell r="D41">
            <v>3011</v>
          </cell>
          <cell r="I41">
            <v>46287</v>
          </cell>
          <cell r="J41">
            <v>46291</v>
          </cell>
          <cell r="K41">
            <v>46307</v>
          </cell>
          <cell r="M41">
            <v>0</v>
          </cell>
          <cell r="O41">
            <v>46310</v>
          </cell>
          <cell r="P41">
            <v>46259</v>
          </cell>
          <cell r="R41">
            <v>0</v>
          </cell>
        </row>
        <row r="42">
          <cell r="A42" t="str">
            <v>30P450173001-501</v>
          </cell>
          <cell r="B42" t="str">
            <v>FITTING 1 FLIGHT CONTROL ASSEMBLY L.H.S</v>
          </cell>
          <cell r="C42">
            <v>3012</v>
          </cell>
          <cell r="D42">
            <v>3012</v>
          </cell>
          <cell r="I42">
            <v>46263</v>
          </cell>
          <cell r="J42">
            <v>46269</v>
          </cell>
          <cell r="K42">
            <v>46285</v>
          </cell>
          <cell r="M42">
            <v>0</v>
          </cell>
          <cell r="O42">
            <v>46288</v>
          </cell>
          <cell r="P42">
            <v>46186</v>
          </cell>
          <cell r="R42">
            <v>0</v>
          </cell>
        </row>
        <row r="43">
          <cell r="A43" t="str">
            <v>30P450045200-501</v>
          </cell>
          <cell r="B43" t="str">
            <v>ANGLE ASSEMBLY LOWER SLIDER L.H.S</v>
          </cell>
          <cell r="C43">
            <v>3013</v>
          </cell>
          <cell r="D43">
            <v>3013</v>
          </cell>
          <cell r="E43">
            <v>12</v>
          </cell>
          <cell r="F43">
            <v>1</v>
          </cell>
          <cell r="G43" t="e">
            <v>#REF!</v>
          </cell>
          <cell r="I43">
            <v>46268</v>
          </cell>
          <cell r="J43">
            <v>46284</v>
          </cell>
          <cell r="K43">
            <v>46300</v>
          </cell>
          <cell r="M43">
            <v>0</v>
          </cell>
          <cell r="O43">
            <v>46303</v>
          </cell>
          <cell r="P43">
            <v>46250</v>
          </cell>
          <cell r="R43">
            <v>0</v>
          </cell>
        </row>
        <row r="44">
          <cell r="A44" t="str">
            <v>30P531125500-001</v>
          </cell>
          <cell r="B44" t="str">
            <v>LOCK WASHER</v>
          </cell>
          <cell r="C44">
            <v>3013</v>
          </cell>
          <cell r="D44">
            <v>3013</v>
          </cell>
          <cell r="E44">
            <v>54</v>
          </cell>
          <cell r="F44">
            <v>1</v>
          </cell>
          <cell r="G44" t="e">
            <v>#REF!</v>
          </cell>
          <cell r="I44" t="str">
            <v>V</v>
          </cell>
          <cell r="J44" t="str">
            <v>V</v>
          </cell>
          <cell r="K44">
            <v>46237</v>
          </cell>
          <cell r="L44">
            <v>46250</v>
          </cell>
          <cell r="M44" t="str">
            <v>הלברג</v>
          </cell>
          <cell r="O44">
            <v>46253</v>
          </cell>
          <cell r="P44">
            <v>46212</v>
          </cell>
          <cell r="R44">
            <v>0</v>
          </cell>
        </row>
        <row r="45">
          <cell r="A45" t="str">
            <v>30P410179600-501</v>
          </cell>
          <cell r="B45" t="str">
            <v>FITTING 2 ASSY, RUDDER</v>
          </cell>
          <cell r="C45">
            <v>3013</v>
          </cell>
          <cell r="D45">
            <v>3013</v>
          </cell>
          <cell r="E45">
            <v>12</v>
          </cell>
          <cell r="F45">
            <v>1</v>
          </cell>
          <cell r="G45" t="e">
            <v>#REF!</v>
          </cell>
          <cell r="I45">
            <v>46310</v>
          </cell>
          <cell r="J45">
            <v>46313</v>
          </cell>
          <cell r="K45">
            <v>46329</v>
          </cell>
          <cell r="L45">
            <v>46280</v>
          </cell>
          <cell r="M45">
            <v>0</v>
          </cell>
          <cell r="N45" t="str">
            <v>3-4 ימים</v>
          </cell>
          <cell r="O45">
            <v>46332</v>
          </cell>
          <cell r="P45">
            <v>46310</v>
          </cell>
          <cell r="R45">
            <v>0</v>
          </cell>
        </row>
        <row r="46">
          <cell r="A46" t="str">
            <v>30P410132002-501</v>
          </cell>
          <cell r="B46" t="str">
            <v>REAR RIB 9 ASSEMBLY</v>
          </cell>
          <cell r="C46">
            <v>3013</v>
          </cell>
          <cell r="D46">
            <v>3013</v>
          </cell>
          <cell r="E46">
            <v>12</v>
          </cell>
          <cell r="F46">
            <v>1</v>
          </cell>
          <cell r="G46" t="e">
            <v>#REF!</v>
          </cell>
          <cell r="I46">
            <v>46233</v>
          </cell>
          <cell r="J46">
            <v>46246</v>
          </cell>
          <cell r="K46">
            <v>46262</v>
          </cell>
          <cell r="M46">
            <v>0</v>
          </cell>
          <cell r="O46">
            <v>46265</v>
          </cell>
          <cell r="P46">
            <v>46271</v>
          </cell>
          <cell r="R46">
            <v>0</v>
          </cell>
        </row>
        <row r="47">
          <cell r="A47" t="str">
            <v>30P450025601-001</v>
          </cell>
          <cell r="C47">
            <v>3013</v>
          </cell>
          <cell r="D47">
            <v>3013</v>
          </cell>
          <cell r="E47">
            <v>12</v>
          </cell>
          <cell r="F47">
            <v>1</v>
          </cell>
          <cell r="G47" t="e">
            <v>#REF!</v>
          </cell>
          <cell r="I47">
            <v>46245</v>
          </cell>
          <cell r="J47">
            <v>46246</v>
          </cell>
          <cell r="K47">
            <v>46262</v>
          </cell>
          <cell r="M47">
            <v>0</v>
          </cell>
          <cell r="O47">
            <v>46265</v>
          </cell>
          <cell r="P47">
            <v>46244</v>
          </cell>
          <cell r="R47">
            <v>0</v>
          </cell>
        </row>
        <row r="48">
          <cell r="A48" t="str">
            <v>30P420170000-001</v>
          </cell>
          <cell r="B48" t="str">
            <v>KEEPER SECURE BOLT</v>
          </cell>
          <cell r="C48">
            <v>3014</v>
          </cell>
          <cell r="D48">
            <v>3014</v>
          </cell>
          <cell r="E48">
            <v>12</v>
          </cell>
          <cell r="F48">
            <v>1</v>
          </cell>
          <cell r="G48" t="e">
            <v>#REF!</v>
          </cell>
          <cell r="I48">
            <v>46368</v>
          </cell>
          <cell r="J48">
            <v>46374</v>
          </cell>
          <cell r="K48">
            <v>46390</v>
          </cell>
          <cell r="L48" t="str">
            <v>אין</v>
          </cell>
          <cell r="M48">
            <v>0</v>
          </cell>
          <cell r="N48" t="str">
            <v>אין</v>
          </cell>
          <cell r="O48">
            <v>46393</v>
          </cell>
          <cell r="P48">
            <v>46363</v>
          </cell>
          <cell r="R48">
            <v>0</v>
          </cell>
        </row>
        <row r="49">
          <cell r="A49" t="str">
            <v>30P410176600-001</v>
          </cell>
          <cell r="B49" t="str">
            <v>FITTING 2 FLIGHT CONTROL ATTACH</v>
          </cell>
          <cell r="C49">
            <v>3014</v>
          </cell>
          <cell r="D49">
            <v>3014</v>
          </cell>
          <cell r="E49">
            <v>12</v>
          </cell>
          <cell r="F49">
            <v>1</v>
          </cell>
          <cell r="G49" t="e">
            <v>#REF!</v>
          </cell>
          <cell r="I49">
            <v>46304</v>
          </cell>
          <cell r="J49">
            <v>46314</v>
          </cell>
          <cell r="K49">
            <v>46330</v>
          </cell>
          <cell r="M49">
            <v>0</v>
          </cell>
          <cell r="O49">
            <v>46333</v>
          </cell>
          <cell r="P49">
            <v>46314</v>
          </cell>
          <cell r="R49">
            <v>0</v>
          </cell>
        </row>
        <row r="50">
          <cell r="A50" t="str">
            <v>30P410128002-501</v>
          </cell>
          <cell r="B50" t="str">
            <v>REAR RIB 7 ASSEMBLY</v>
          </cell>
          <cell r="C50">
            <v>3014</v>
          </cell>
          <cell r="D50">
            <v>3014</v>
          </cell>
          <cell r="E50">
            <v>10</v>
          </cell>
          <cell r="F50">
            <v>1</v>
          </cell>
          <cell r="G50" t="e">
            <v>#REF!</v>
          </cell>
          <cell r="I50">
            <v>46180</v>
          </cell>
          <cell r="J50">
            <v>46238</v>
          </cell>
          <cell r="K50">
            <v>46251</v>
          </cell>
          <cell r="M50" t="str">
            <v>מיקרו צבע -17/08 לאחר בדיקה</v>
          </cell>
          <cell r="O50">
            <v>46257</v>
          </cell>
          <cell r="P50">
            <v>46203</v>
          </cell>
          <cell r="R50" t="str">
            <v>נמצא בהרכבה ,בנוסף בן -30P430110700-001 יוצא לתהליכים</v>
          </cell>
        </row>
        <row r="51">
          <cell r="A51" t="str">
            <v>30P783301000-501</v>
          </cell>
          <cell r="C51">
            <v>3014</v>
          </cell>
          <cell r="D51">
            <v>3014</v>
          </cell>
          <cell r="E51">
            <v>12</v>
          </cell>
          <cell r="F51">
            <v>1</v>
          </cell>
          <cell r="G51" t="e">
            <v>#REF!</v>
          </cell>
          <cell r="H51" t="str">
            <v>חריטה+כרסום5 צירים</v>
          </cell>
          <cell r="I51">
            <v>46215</v>
          </cell>
          <cell r="J51">
            <v>46246</v>
          </cell>
          <cell r="K51">
            <v>46262</v>
          </cell>
          <cell r="M51">
            <v>0</v>
          </cell>
          <cell r="N51" t="str">
            <v>3-4 ימים</v>
          </cell>
          <cell r="O51">
            <v>46265</v>
          </cell>
          <cell r="P51">
            <v>46349</v>
          </cell>
          <cell r="R51">
            <v>0</v>
          </cell>
        </row>
        <row r="52">
          <cell r="A52" t="str">
            <v>30P450045200-502</v>
          </cell>
          <cell r="B52" t="str">
            <v>ANGLE ASSEMBLY LOWER SLIDER R.H.S</v>
          </cell>
          <cell r="C52">
            <v>3014</v>
          </cell>
          <cell r="D52">
            <v>3014</v>
          </cell>
          <cell r="E52">
            <v>20</v>
          </cell>
          <cell r="F52">
            <v>1</v>
          </cell>
          <cell r="G52" t="e">
            <v>#REF!</v>
          </cell>
          <cell r="H52" t="str">
            <v>maximart</v>
          </cell>
          <cell r="I52">
            <v>46284</v>
          </cell>
          <cell r="J52">
            <v>46300</v>
          </cell>
          <cell r="K52">
            <v>46316</v>
          </cell>
          <cell r="L52" t="str">
            <v>אין</v>
          </cell>
          <cell r="M52">
            <v>0</v>
          </cell>
          <cell r="N52" t="str">
            <v>3-4 ימים</v>
          </cell>
          <cell r="O52">
            <v>46319</v>
          </cell>
          <cell r="P52">
            <v>46267</v>
          </cell>
          <cell r="R52">
            <v>0</v>
          </cell>
        </row>
        <row r="53">
          <cell r="A53" t="str">
            <v>30P450025501-001</v>
          </cell>
          <cell r="C53">
            <v>3014</v>
          </cell>
          <cell r="D53">
            <v>3014</v>
          </cell>
          <cell r="E53">
            <v>12</v>
          </cell>
          <cell r="F53">
            <v>1</v>
          </cell>
          <cell r="G53" t="e">
            <v>#REF!</v>
          </cell>
          <cell r="I53">
            <v>46250</v>
          </cell>
          <cell r="J53">
            <v>46251</v>
          </cell>
          <cell r="K53">
            <v>46267</v>
          </cell>
          <cell r="M53">
            <v>0</v>
          </cell>
          <cell r="O53">
            <v>46270</v>
          </cell>
          <cell r="P53">
            <v>46265</v>
          </cell>
          <cell r="R53">
            <v>0</v>
          </cell>
        </row>
        <row r="54">
          <cell r="A54" t="str">
            <v>30P450175300-001</v>
          </cell>
          <cell r="B54" t="str">
            <v>FITTING RIB 1 L.H.S</v>
          </cell>
          <cell r="C54">
            <v>3014</v>
          </cell>
          <cell r="D54">
            <v>3014</v>
          </cell>
          <cell r="E54">
            <v>12</v>
          </cell>
          <cell r="F54">
            <v>1</v>
          </cell>
          <cell r="G54" t="e">
            <v>#REF!</v>
          </cell>
          <cell r="I54">
            <v>46278</v>
          </cell>
          <cell r="J54">
            <v>46284</v>
          </cell>
          <cell r="K54">
            <v>46300</v>
          </cell>
          <cell r="M54">
            <v>0</v>
          </cell>
          <cell r="O54">
            <v>46303</v>
          </cell>
          <cell r="P54">
            <v>46188</v>
          </cell>
          <cell r="R54">
            <v>0</v>
          </cell>
        </row>
        <row r="55">
          <cell r="A55" t="str">
            <v>30P450173001-502</v>
          </cell>
          <cell r="B55" t="str">
            <v>FITTING 1 FLIGHT CONTROL ASSEMBLY R.H.S</v>
          </cell>
          <cell r="C55">
            <v>3015</v>
          </cell>
          <cell r="D55">
            <v>3015</v>
          </cell>
          <cell r="E55">
            <v>12</v>
          </cell>
          <cell r="I55">
            <v>46269</v>
          </cell>
          <cell r="J55">
            <v>46275</v>
          </cell>
          <cell r="K55">
            <v>46291</v>
          </cell>
          <cell r="M55">
            <v>0</v>
          </cell>
          <cell r="O55">
            <v>46294</v>
          </cell>
          <cell r="R55">
            <v>0</v>
          </cell>
        </row>
        <row r="56">
          <cell r="A56" t="str">
            <v>30P357309000-001</v>
          </cell>
          <cell r="C56">
            <v>3015</v>
          </cell>
          <cell r="D56">
            <v>3015</v>
          </cell>
          <cell r="E56" t="str">
            <v>כל ההזמנות</v>
          </cell>
          <cell r="F56">
            <v>1</v>
          </cell>
          <cell r="G56" t="e">
            <v>#REF!</v>
          </cell>
          <cell r="I56" t="str">
            <v>V</v>
          </cell>
          <cell r="J56" t="str">
            <v>V</v>
          </cell>
          <cell r="K56" t="str">
            <v>V</v>
          </cell>
          <cell r="M56">
            <v>0</v>
          </cell>
          <cell r="N56" t="str">
            <v>אין</v>
          </cell>
          <cell r="O56" t="e">
            <v>#VALUE!</v>
          </cell>
          <cell r="P56">
            <v>46288</v>
          </cell>
          <cell r="R56" t="str">
            <v>חלקים מוכנים כל ההזמנות ממתין לאישור אספקה</v>
          </cell>
        </row>
        <row r="57">
          <cell r="A57" t="str">
            <v>30P410022100-502</v>
          </cell>
          <cell r="B57" t="str">
            <v>FORMER 1 ASSEMBLY</v>
          </cell>
          <cell r="C57">
            <v>3015</v>
          </cell>
          <cell r="D57">
            <v>3015</v>
          </cell>
          <cell r="E57">
            <v>12</v>
          </cell>
          <cell r="F57">
            <v>1</v>
          </cell>
          <cell r="G57" t="e">
            <v>#REF!</v>
          </cell>
          <cell r="I57">
            <v>46340</v>
          </cell>
          <cell r="J57">
            <v>46345</v>
          </cell>
          <cell r="K57">
            <v>46361</v>
          </cell>
          <cell r="M57">
            <v>0</v>
          </cell>
          <cell r="N57" t="str">
            <v>3-4 ימים</v>
          </cell>
          <cell r="O57">
            <v>46364</v>
          </cell>
          <cell r="P57">
            <v>46317</v>
          </cell>
          <cell r="R57" t="e">
            <v>#N/A</v>
          </cell>
        </row>
        <row r="58">
          <cell r="A58" t="str">
            <v>30P450161200-001</v>
          </cell>
          <cell r="C58">
            <v>3015</v>
          </cell>
          <cell r="D58">
            <v>3015</v>
          </cell>
          <cell r="E58">
            <v>12</v>
          </cell>
          <cell r="F58">
            <v>1</v>
          </cell>
          <cell r="G58" t="e">
            <v>#REF!</v>
          </cell>
          <cell r="I58">
            <v>46259</v>
          </cell>
          <cell r="J58">
            <v>46261</v>
          </cell>
          <cell r="K58">
            <v>46277</v>
          </cell>
          <cell r="M58">
            <v>0</v>
          </cell>
          <cell r="O58">
            <v>46280</v>
          </cell>
          <cell r="P58">
            <v>46303</v>
          </cell>
          <cell r="R58" t="e">
            <v>#N/A</v>
          </cell>
        </row>
        <row r="59">
          <cell r="A59" t="str">
            <v>30P450161300-002</v>
          </cell>
          <cell r="B59" t="str">
            <v>SPLICE REAR SPAR ATTACH R.H.S</v>
          </cell>
          <cell r="C59">
            <v>3015</v>
          </cell>
          <cell r="D59">
            <v>3015</v>
          </cell>
          <cell r="E59">
            <v>12</v>
          </cell>
          <cell r="F59">
            <v>1</v>
          </cell>
          <cell r="G59" t="e">
            <v>#REF!</v>
          </cell>
          <cell r="I59">
            <v>46257</v>
          </cell>
          <cell r="J59">
            <v>46259</v>
          </cell>
          <cell r="K59">
            <v>46275</v>
          </cell>
          <cell r="M59">
            <v>0</v>
          </cell>
          <cell r="O59">
            <v>46278</v>
          </cell>
          <cell r="P59">
            <v>46303</v>
          </cell>
          <cell r="R59" t="e">
            <v>#N/A</v>
          </cell>
        </row>
        <row r="60">
          <cell r="A60" t="str">
            <v>30P450024100-501</v>
          </cell>
          <cell r="B60" t="str">
            <v>FORMER 1 LEADING EDGE ASSEMBLY L.H.S</v>
          </cell>
          <cell r="C60">
            <v>3015</v>
          </cell>
          <cell r="D60">
            <v>3015</v>
          </cell>
          <cell r="E60">
            <v>12</v>
          </cell>
          <cell r="F60">
            <v>1</v>
          </cell>
          <cell r="G60" t="e">
            <v>#REF!</v>
          </cell>
          <cell r="I60">
            <v>46282</v>
          </cell>
          <cell r="J60">
            <v>46288</v>
          </cell>
          <cell r="K60">
            <v>46304</v>
          </cell>
          <cell r="M60">
            <v>0</v>
          </cell>
          <cell r="O60">
            <v>46307</v>
          </cell>
          <cell r="P60">
            <v>46215</v>
          </cell>
          <cell r="R60">
            <v>0</v>
          </cell>
        </row>
        <row r="61">
          <cell r="A61" t="str">
            <v>30P357308700-001</v>
          </cell>
          <cell r="C61">
            <v>3015</v>
          </cell>
          <cell r="D61">
            <v>3015</v>
          </cell>
          <cell r="E61">
            <v>24</v>
          </cell>
          <cell r="F61">
            <v>2</v>
          </cell>
          <cell r="G61" t="e">
            <v>#REF!</v>
          </cell>
          <cell r="I61" t="e">
            <v>#N/A</v>
          </cell>
          <cell r="J61" t="e">
            <v>#N/A</v>
          </cell>
          <cell r="K61" t="e">
            <v>#N/A</v>
          </cell>
          <cell r="M61">
            <v>0</v>
          </cell>
          <cell r="O61" t="e">
            <v>#N/A</v>
          </cell>
          <cell r="P61">
            <v>46288</v>
          </cell>
          <cell r="R61">
            <v>0</v>
          </cell>
        </row>
        <row r="62">
          <cell r="A62" t="str">
            <v>30P357308900-001</v>
          </cell>
          <cell r="C62">
            <v>3015</v>
          </cell>
          <cell r="D62">
            <v>3015</v>
          </cell>
          <cell r="E62">
            <v>24</v>
          </cell>
          <cell r="F62">
            <v>2</v>
          </cell>
          <cell r="G62" t="e">
            <v>#REF!</v>
          </cell>
          <cell r="I62" t="e">
            <v>#N/A</v>
          </cell>
          <cell r="J62" t="e">
            <v>#N/A</v>
          </cell>
          <cell r="K62" t="e">
            <v>#N/A</v>
          </cell>
          <cell r="M62">
            <v>0</v>
          </cell>
          <cell r="O62" t="e">
            <v>#N/A</v>
          </cell>
          <cell r="P62">
            <v>46288</v>
          </cell>
          <cell r="R62">
            <v>0</v>
          </cell>
        </row>
        <row r="63">
          <cell r="A63" t="str">
            <v>30P410126002-501</v>
          </cell>
          <cell r="B63" t="str">
            <v>REAR RIB 6 ASSEMBLY</v>
          </cell>
          <cell r="C63">
            <v>3015</v>
          </cell>
          <cell r="D63">
            <v>3015</v>
          </cell>
          <cell r="E63">
            <v>12</v>
          </cell>
          <cell r="G63" t="e">
            <v>#REF!</v>
          </cell>
          <cell r="I63">
            <v>46251</v>
          </cell>
          <cell r="J63">
            <v>46259</v>
          </cell>
          <cell r="K63">
            <v>46275</v>
          </cell>
          <cell r="M63">
            <v>0</v>
          </cell>
          <cell r="O63">
            <v>46278</v>
          </cell>
          <cell r="P63">
            <v>46217</v>
          </cell>
          <cell r="R63">
            <v>0</v>
          </cell>
        </row>
        <row r="64">
          <cell r="A64" t="str">
            <v>30P460185100-001</v>
          </cell>
          <cell r="C64">
            <v>3016</v>
          </cell>
          <cell r="D64">
            <v>3016</v>
          </cell>
          <cell r="E64">
            <v>151</v>
          </cell>
          <cell r="F64">
            <v>1</v>
          </cell>
          <cell r="G64" t="e">
            <v>#REF!</v>
          </cell>
          <cell r="I64">
            <v>46175</v>
          </cell>
          <cell r="J64" t="e">
            <v>#N/A</v>
          </cell>
          <cell r="K64" t="e">
            <v>#N/A</v>
          </cell>
          <cell r="M64" t="str">
            <v>תעשייה אווירית צפי סיום לפי רומן 22.07 -בפועל חזר ב29/07</v>
          </cell>
          <cell r="O64" t="e">
            <v>#N/A</v>
          </cell>
          <cell r="P64">
            <v>46334</v>
          </cell>
          <cell r="R64" t="str">
            <v>מוכן -79 יח מוכן -מספקים 04/08</v>
          </cell>
        </row>
        <row r="65">
          <cell r="A65" t="str">
            <v>30P450185101-002</v>
          </cell>
          <cell r="B65" t="str">
            <v>FITTING 1 STRINGER 3 ATTACH R.H.S</v>
          </cell>
          <cell r="C65">
            <v>3016</v>
          </cell>
          <cell r="D65">
            <v>3016</v>
          </cell>
          <cell r="E65">
            <v>12</v>
          </cell>
          <cell r="F65">
            <v>1</v>
          </cell>
          <cell r="G65" t="e">
            <v>#REF!</v>
          </cell>
          <cell r="I65" t="e">
            <v>#N/A</v>
          </cell>
          <cell r="J65" t="e">
            <v>#N/A</v>
          </cell>
          <cell r="K65" t="e">
            <v>#N/A</v>
          </cell>
          <cell r="L65" t="str">
            <v>אין</v>
          </cell>
          <cell r="M65">
            <v>0</v>
          </cell>
          <cell r="N65" t="str">
            <v>אין</v>
          </cell>
          <cell r="O65" t="e">
            <v>#N/A</v>
          </cell>
          <cell r="P65">
            <v>46308</v>
          </cell>
          <cell r="R65" t="e">
            <v>#N/A</v>
          </cell>
        </row>
        <row r="66">
          <cell r="A66" t="str">
            <v>30P450185101-001</v>
          </cell>
          <cell r="B66" t="str">
            <v>FITTING 1 STRINGER 3 ATTACH L.H.S</v>
          </cell>
          <cell r="C66">
            <v>3016</v>
          </cell>
          <cell r="D66">
            <v>3016</v>
          </cell>
          <cell r="E66">
            <v>12</v>
          </cell>
          <cell r="F66">
            <v>1</v>
          </cell>
          <cell r="G66" t="e">
            <v>#REF!</v>
          </cell>
          <cell r="I66" t="e">
            <v>#N/A</v>
          </cell>
          <cell r="J66" t="e">
            <v>#N/A</v>
          </cell>
          <cell r="K66" t="e">
            <v>#N/A</v>
          </cell>
          <cell r="L66" t="str">
            <v>אין</v>
          </cell>
          <cell r="M66">
            <v>0</v>
          </cell>
          <cell r="N66" t="str">
            <v>אין</v>
          </cell>
          <cell r="O66" t="e">
            <v>#N/A</v>
          </cell>
          <cell r="P66">
            <v>46308</v>
          </cell>
          <cell r="R66" t="e">
            <v>#N/A</v>
          </cell>
        </row>
        <row r="67">
          <cell r="A67" t="str">
            <v>30P450177100-001</v>
          </cell>
          <cell r="B67" t="str">
            <v>FITTING FLIGHT CONTROL CAM ATTACH</v>
          </cell>
          <cell r="C67">
            <v>3016</v>
          </cell>
          <cell r="D67">
            <v>3016</v>
          </cell>
          <cell r="E67">
            <v>17</v>
          </cell>
          <cell r="G67" t="e">
            <v>#REF!</v>
          </cell>
          <cell r="I67">
            <v>46281</v>
          </cell>
          <cell r="J67">
            <v>46286</v>
          </cell>
          <cell r="K67">
            <v>46302</v>
          </cell>
          <cell r="M67">
            <v>0</v>
          </cell>
          <cell r="O67">
            <v>46305</v>
          </cell>
          <cell r="P67">
            <v>46212</v>
          </cell>
          <cell r="R67" t="e">
            <v>#N/A</v>
          </cell>
        </row>
        <row r="68">
          <cell r="A68" t="str">
            <v>30P450193101-501</v>
          </cell>
          <cell r="C68">
            <v>3016</v>
          </cell>
          <cell r="D68">
            <v>3016</v>
          </cell>
          <cell r="E68">
            <v>2</v>
          </cell>
          <cell r="F68">
            <v>1</v>
          </cell>
          <cell r="G68" t="e">
            <v>#REF!</v>
          </cell>
          <cell r="I68" t="str">
            <v>V</v>
          </cell>
          <cell r="J68">
            <v>46251</v>
          </cell>
          <cell r="K68">
            <v>46267</v>
          </cell>
          <cell r="L68">
            <v>46277</v>
          </cell>
          <cell r="M68">
            <v>0</v>
          </cell>
          <cell r="N68" t="str">
            <v>3-4 ימים</v>
          </cell>
          <cell r="O68">
            <v>46270</v>
          </cell>
          <cell r="P68">
            <v>46265</v>
          </cell>
          <cell r="R68" t="str">
            <v>חזר מניק,לפני עיבוד סופי ושליחה לציפוי צבע</v>
          </cell>
        </row>
        <row r="69">
          <cell r="A69" t="str">
            <v>SP3M003P7-006</v>
          </cell>
          <cell r="B69" t="str">
            <v>BUSHING SLEEVE-IN-BORE INNER SLEEVE CRES</v>
          </cell>
          <cell r="C69">
            <v>3016</v>
          </cell>
          <cell r="D69">
            <v>3016</v>
          </cell>
          <cell r="E69">
            <v>12</v>
          </cell>
          <cell r="F69">
            <v>4</v>
          </cell>
          <cell r="G69" t="e">
            <v>#REF!</v>
          </cell>
          <cell r="I69" t="str">
            <v>V</v>
          </cell>
          <cell r="J69" t="str">
            <v>ממתין להצעת מחיר</v>
          </cell>
          <cell r="K69" t="str">
            <v>ממתין להצעת מחיר</v>
          </cell>
          <cell r="L69" t="str">
            <v>אין</v>
          </cell>
          <cell r="M69" t="str">
            <v>ממתין לעדכון מחיר מתעשייה אווירית</v>
          </cell>
          <cell r="O69" t="e">
            <v>#VALUE!</v>
          </cell>
          <cell r="P69">
            <v>46289</v>
          </cell>
          <cell r="R69" t="str">
            <v>ממתין לעדכון מחיר מתעשייה אווירית</v>
          </cell>
        </row>
        <row r="70">
          <cell r="A70" t="str">
            <v>30P410038900-502</v>
          </cell>
          <cell r="C70">
            <v>3016</v>
          </cell>
          <cell r="D70">
            <v>3016</v>
          </cell>
          <cell r="E70">
            <v>12</v>
          </cell>
          <cell r="F70">
            <v>1</v>
          </cell>
          <cell r="G70" t="e">
            <v>#REF!</v>
          </cell>
          <cell r="I70" t="e">
            <v>#N/A</v>
          </cell>
          <cell r="J70" t="e">
            <v>#N/A</v>
          </cell>
          <cell r="K70" t="e">
            <v>#N/A</v>
          </cell>
          <cell r="M70">
            <v>0</v>
          </cell>
          <cell r="N70" t="str">
            <v>3-4 ימים</v>
          </cell>
          <cell r="O70" t="e">
            <v>#N/A</v>
          </cell>
          <cell r="P70">
            <v>46310</v>
          </cell>
          <cell r="R70">
            <v>0</v>
          </cell>
        </row>
        <row r="71">
          <cell r="A71" t="str">
            <v>30P582601000-501</v>
          </cell>
          <cell r="B71" t="str">
            <v>RUDDER ARM ASSEMBLY</v>
          </cell>
          <cell r="C71">
            <v>3016</v>
          </cell>
          <cell r="D71">
            <v>3016</v>
          </cell>
          <cell r="E71">
            <v>26</v>
          </cell>
          <cell r="F71">
            <v>1</v>
          </cell>
          <cell r="G71" t="e">
            <v>#REF!</v>
          </cell>
          <cell r="I71">
            <v>46306</v>
          </cell>
          <cell r="J71">
            <v>46313</v>
          </cell>
          <cell r="K71">
            <v>46329</v>
          </cell>
          <cell r="M71">
            <v>0</v>
          </cell>
          <cell r="O71">
            <v>46332</v>
          </cell>
          <cell r="P71">
            <v>46268</v>
          </cell>
          <cell r="R71">
            <v>0</v>
          </cell>
        </row>
        <row r="72">
          <cell r="A72" t="str">
            <v>30P410181801-001</v>
          </cell>
          <cell r="C72">
            <v>3016</v>
          </cell>
          <cell r="D72">
            <v>3016</v>
          </cell>
          <cell r="E72">
            <v>13</v>
          </cell>
          <cell r="F72">
            <v>1</v>
          </cell>
          <cell r="G72" t="e">
            <v>#REF!</v>
          </cell>
          <cell r="I72" t="str">
            <v>V</v>
          </cell>
          <cell r="J72" t="e">
            <v>#N/A</v>
          </cell>
          <cell r="K72" t="e">
            <v>#N/A</v>
          </cell>
          <cell r="L72" t="str">
            <v>אין</v>
          </cell>
          <cell r="M72" t="str">
            <v>מיקרו צבע</v>
          </cell>
          <cell r="N72" t="str">
            <v>אין</v>
          </cell>
          <cell r="O72" t="e">
            <v>#N/A</v>
          </cell>
          <cell r="P72">
            <v>46287</v>
          </cell>
          <cell r="R72" t="str">
            <v>חלקים מוכנים כל ההזמנות ממתין לאישור אספקה</v>
          </cell>
        </row>
        <row r="73">
          <cell r="A73" t="str">
            <v>30P450177100-002</v>
          </cell>
          <cell r="B73" t="str">
            <v>FITTING FLIGHT CONTROL CAM ATTACH</v>
          </cell>
          <cell r="C73">
            <v>3016</v>
          </cell>
          <cell r="D73">
            <v>3016</v>
          </cell>
          <cell r="E73">
            <v>12</v>
          </cell>
          <cell r="F73">
            <v>1</v>
          </cell>
          <cell r="G73" t="e">
            <v>#REF!</v>
          </cell>
          <cell r="I73">
            <v>46286</v>
          </cell>
          <cell r="J73">
            <v>46290</v>
          </cell>
          <cell r="K73">
            <v>46306</v>
          </cell>
          <cell r="M73">
            <v>0</v>
          </cell>
          <cell r="O73">
            <v>46309</v>
          </cell>
          <cell r="P73">
            <v>46336</v>
          </cell>
          <cell r="R73">
            <v>0</v>
          </cell>
        </row>
        <row r="74">
          <cell r="A74" t="str">
            <v>30P450044400-001</v>
          </cell>
          <cell r="C74">
            <v>3016</v>
          </cell>
          <cell r="D74">
            <v>3016</v>
          </cell>
          <cell r="E74">
            <v>12</v>
          </cell>
          <cell r="F74">
            <v>1</v>
          </cell>
          <cell r="G74" t="e">
            <v>#REF!</v>
          </cell>
          <cell r="I74">
            <v>46336</v>
          </cell>
          <cell r="J74">
            <v>46341</v>
          </cell>
          <cell r="K74">
            <v>46357</v>
          </cell>
          <cell r="M74">
            <v>0</v>
          </cell>
          <cell r="O74">
            <v>46360</v>
          </cell>
          <cell r="P74">
            <v>46334</v>
          </cell>
          <cell r="R74">
            <v>0</v>
          </cell>
        </row>
        <row r="75">
          <cell r="A75" t="str">
            <v>30P420166001-501</v>
          </cell>
          <cell r="B75" t="str">
            <v>FITTING ASSEMBLY LOWER HINGE</v>
          </cell>
          <cell r="C75">
            <v>3016</v>
          </cell>
          <cell r="D75">
            <v>3016</v>
          </cell>
          <cell r="E75">
            <v>12</v>
          </cell>
          <cell r="F75">
            <v>1</v>
          </cell>
          <cell r="G75" t="e">
            <v>#REF!</v>
          </cell>
          <cell r="I75">
            <v>46316</v>
          </cell>
          <cell r="J75">
            <v>46320</v>
          </cell>
          <cell r="K75">
            <v>46336</v>
          </cell>
          <cell r="M75">
            <v>0</v>
          </cell>
          <cell r="N75" t="str">
            <v>3-4 ימים</v>
          </cell>
          <cell r="O75">
            <v>46339</v>
          </cell>
          <cell r="P75">
            <v>46313</v>
          </cell>
          <cell r="R75">
            <v>0</v>
          </cell>
        </row>
        <row r="76">
          <cell r="A76" t="str">
            <v>30P430113401-501</v>
          </cell>
          <cell r="B76" t="str">
            <v>BRACKET ASSY  HARNESS SUPPORT  HS</v>
          </cell>
          <cell r="C76">
            <v>3017</v>
          </cell>
          <cell r="D76">
            <v>3017</v>
          </cell>
          <cell r="E76">
            <v>12</v>
          </cell>
          <cell r="F76">
            <v>1</v>
          </cell>
          <cell r="G76" t="e">
            <v>#REF!</v>
          </cell>
          <cell r="I76">
            <v>46349</v>
          </cell>
          <cell r="J76">
            <v>46352</v>
          </cell>
          <cell r="K76">
            <v>46368</v>
          </cell>
          <cell r="M76">
            <v>0</v>
          </cell>
          <cell r="N76" t="str">
            <v>3-4 ימים</v>
          </cell>
          <cell r="O76">
            <v>46371</v>
          </cell>
          <cell r="P76">
            <v>46334</v>
          </cell>
          <cell r="R76" t="e">
            <v>#N/A</v>
          </cell>
        </row>
        <row r="77">
          <cell r="A77" t="str">
            <v>30P450197901-001</v>
          </cell>
          <cell r="B77" t="str">
            <v>RETAINER  PIVOT</v>
          </cell>
          <cell r="C77">
            <v>3017</v>
          </cell>
          <cell r="D77">
            <v>3017</v>
          </cell>
          <cell r="E77">
            <v>36</v>
          </cell>
          <cell r="F77">
            <v>1</v>
          </cell>
          <cell r="G77" t="e">
            <v>#REF!</v>
          </cell>
          <cell r="I77">
            <v>46214</v>
          </cell>
          <cell r="J77" t="str">
            <v>V</v>
          </cell>
          <cell r="K77">
            <v>46250</v>
          </cell>
          <cell r="M77" t="str">
            <v>לפי רומן צפי סיום 13/08</v>
          </cell>
          <cell r="O77">
            <v>46253</v>
          </cell>
          <cell r="P77">
            <v>46334</v>
          </cell>
          <cell r="R77" t="str">
            <v>נמצא בתהליכים בתעשייה אווירית</v>
          </cell>
        </row>
        <row r="78">
          <cell r="A78" t="str">
            <v>30P283331102-001</v>
          </cell>
          <cell r="B78" t="str">
            <v>NLG DOOR AFT</v>
          </cell>
          <cell r="C78">
            <v>3017</v>
          </cell>
          <cell r="D78">
            <v>3017</v>
          </cell>
          <cell r="E78">
            <v>12</v>
          </cell>
          <cell r="F78">
            <v>1</v>
          </cell>
          <cell r="G78" t="e">
            <v>#REF!</v>
          </cell>
          <cell r="I78">
            <v>46288</v>
          </cell>
          <cell r="J78">
            <v>46298</v>
          </cell>
          <cell r="K78">
            <v>46314</v>
          </cell>
          <cell r="M78">
            <v>0</v>
          </cell>
          <cell r="O78">
            <v>46317</v>
          </cell>
          <cell r="P78">
            <v>46411</v>
          </cell>
          <cell r="R78" t="e">
            <v>#N/A</v>
          </cell>
        </row>
        <row r="79">
          <cell r="A79" t="str">
            <v>30P331074600-501</v>
          </cell>
          <cell r="B79" t="str">
            <v>SPRING TENSION ARM ASSY</v>
          </cell>
          <cell r="C79">
            <v>3017</v>
          </cell>
          <cell r="D79">
            <v>3017</v>
          </cell>
          <cell r="E79">
            <v>12</v>
          </cell>
          <cell r="F79">
            <v>1</v>
          </cell>
          <cell r="G79" t="e">
            <v>#REF!</v>
          </cell>
          <cell r="I79">
            <v>46367</v>
          </cell>
          <cell r="J79">
            <v>46375</v>
          </cell>
          <cell r="K79">
            <v>46391</v>
          </cell>
          <cell r="M79">
            <v>0</v>
          </cell>
          <cell r="O79">
            <v>46394</v>
          </cell>
          <cell r="P79">
            <v>46345</v>
          </cell>
          <cell r="R79" t="e">
            <v>#N/A</v>
          </cell>
        </row>
        <row r="80">
          <cell r="A80" t="str">
            <v>30P450039500-001</v>
          </cell>
          <cell r="B80" t="str">
            <v>REDUCED VORTEX GENERATOR</v>
          </cell>
          <cell r="C80">
            <v>3017</v>
          </cell>
          <cell r="D80">
            <v>3017</v>
          </cell>
          <cell r="E80">
            <v>12</v>
          </cell>
          <cell r="F80">
            <v>1</v>
          </cell>
          <cell r="G80" t="e">
            <v>#REF!</v>
          </cell>
          <cell r="I80">
            <v>46389</v>
          </cell>
          <cell r="J80">
            <v>46399</v>
          </cell>
          <cell r="K80">
            <v>46415</v>
          </cell>
          <cell r="L80" t="str">
            <v>אין</v>
          </cell>
          <cell r="M80">
            <v>0</v>
          </cell>
          <cell r="N80" t="str">
            <v>אין</v>
          </cell>
          <cell r="O80">
            <v>46418</v>
          </cell>
          <cell r="P80">
            <v>46376</v>
          </cell>
          <cell r="R80">
            <v>0</v>
          </cell>
        </row>
        <row r="81">
          <cell r="A81" t="str">
            <v>30P410036600-001</v>
          </cell>
          <cell r="B81" t="str">
            <v>FORMER AFT FAIRING</v>
          </cell>
          <cell r="C81">
            <v>3017</v>
          </cell>
          <cell r="D81">
            <v>3017</v>
          </cell>
          <cell r="E81">
            <v>12</v>
          </cell>
          <cell r="I81">
            <v>46351</v>
          </cell>
          <cell r="J81">
            <v>46358</v>
          </cell>
          <cell r="K81">
            <v>46374</v>
          </cell>
          <cell r="M81">
            <v>0</v>
          </cell>
          <cell r="O81">
            <v>46377</v>
          </cell>
          <cell r="P81">
            <v>46342</v>
          </cell>
          <cell r="R81" t="e">
            <v>#N/A</v>
          </cell>
        </row>
        <row r="82">
          <cell r="A82" t="str">
            <v>30P410038900-501</v>
          </cell>
          <cell r="C82">
            <v>3017</v>
          </cell>
          <cell r="D82">
            <v>3017</v>
          </cell>
          <cell r="E82">
            <v>12</v>
          </cell>
          <cell r="F82">
            <v>1</v>
          </cell>
          <cell r="G82" t="e">
            <v>#REF!</v>
          </cell>
          <cell r="I82" t="e">
            <v>#N/A</v>
          </cell>
          <cell r="J82" t="e">
            <v>#N/A</v>
          </cell>
          <cell r="K82" t="e">
            <v>#N/A</v>
          </cell>
          <cell r="M82">
            <v>0</v>
          </cell>
          <cell r="N82" t="str">
            <v>3-4 ימים</v>
          </cell>
          <cell r="O82" t="e">
            <v>#N/A</v>
          </cell>
          <cell r="P82">
            <v>46324</v>
          </cell>
          <cell r="R82">
            <v>0</v>
          </cell>
        </row>
        <row r="83">
          <cell r="A83" t="str">
            <v>30P430212200-501</v>
          </cell>
          <cell r="C83">
            <v>3017</v>
          </cell>
          <cell r="D83">
            <v>3017</v>
          </cell>
          <cell r="E83">
            <v>12</v>
          </cell>
          <cell r="F83">
            <v>1</v>
          </cell>
          <cell r="G83" t="e">
            <v>#REF!</v>
          </cell>
          <cell r="I83" t="e">
            <v>#N/A</v>
          </cell>
          <cell r="J83" t="e">
            <v>#N/A</v>
          </cell>
          <cell r="K83" t="e">
            <v>#N/A</v>
          </cell>
          <cell r="M83">
            <v>0</v>
          </cell>
          <cell r="N83" t="str">
            <v>3-4 ימים</v>
          </cell>
          <cell r="O83" t="e">
            <v>#N/A</v>
          </cell>
          <cell r="P83">
            <v>46322</v>
          </cell>
          <cell r="R83">
            <v>0</v>
          </cell>
        </row>
        <row r="84">
          <cell r="A84" t="str">
            <v>30P410177300-501</v>
          </cell>
          <cell r="C84">
            <v>3017</v>
          </cell>
          <cell r="D84">
            <v>3017</v>
          </cell>
          <cell r="E84">
            <v>12</v>
          </cell>
          <cell r="F84">
            <v>1</v>
          </cell>
          <cell r="G84" t="e">
            <v>#REF!</v>
          </cell>
          <cell r="I84">
            <v>46333</v>
          </cell>
          <cell r="J84">
            <v>46339</v>
          </cell>
          <cell r="K84">
            <v>46355</v>
          </cell>
          <cell r="M84">
            <v>0</v>
          </cell>
          <cell r="N84" t="str">
            <v>3-4 ימים</v>
          </cell>
          <cell r="O84">
            <v>46358</v>
          </cell>
          <cell r="P84">
            <v>46324</v>
          </cell>
          <cell r="R84">
            <v>0</v>
          </cell>
        </row>
        <row r="85">
          <cell r="A85" t="str">
            <v>SP3M003P6-007</v>
          </cell>
          <cell r="B85" t="str">
            <v>BUSHING SLEEVE CLAMP-UP INNER SLEEVE-IN-</v>
          </cell>
          <cell r="C85">
            <v>3017</v>
          </cell>
          <cell r="D85">
            <v>3017</v>
          </cell>
          <cell r="E85">
            <v>12</v>
          </cell>
          <cell r="F85">
            <v>1</v>
          </cell>
          <cell r="G85" t="e">
            <v>#REF!</v>
          </cell>
          <cell r="I85" t="str">
            <v>V</v>
          </cell>
          <cell r="J85" t="str">
            <v>ממתין להצעת מחיר</v>
          </cell>
          <cell r="K85" t="str">
            <v>ממתין להצעת מחיר</v>
          </cell>
          <cell r="L85" t="str">
            <v>אין</v>
          </cell>
          <cell r="M85" t="str">
            <v>ממתין לעדכון מחיר מתעשייה אווירית</v>
          </cell>
          <cell r="O85" t="e">
            <v>#VALUE!</v>
          </cell>
          <cell r="P85">
            <v>46280</v>
          </cell>
          <cell r="R85" t="str">
            <v>ממתין לעדכון מחיר מתעשייה אווירית</v>
          </cell>
        </row>
        <row r="86">
          <cell r="A86" t="str">
            <v>30P410133002-501</v>
          </cell>
          <cell r="B86" t="str">
            <v>REAR RIB 10 ASSEMBLY</v>
          </cell>
          <cell r="C86">
            <v>3017</v>
          </cell>
          <cell r="D86">
            <v>3017</v>
          </cell>
          <cell r="E86">
            <v>12</v>
          </cell>
          <cell r="F86">
            <v>1</v>
          </cell>
          <cell r="G86" t="e">
            <v>#REF!</v>
          </cell>
          <cell r="I86">
            <v>46249</v>
          </cell>
          <cell r="J86">
            <v>46257</v>
          </cell>
          <cell r="K86">
            <v>46273</v>
          </cell>
          <cell r="M86">
            <v>0</v>
          </cell>
          <cell r="O86">
            <v>46276</v>
          </cell>
          <cell r="P86">
            <v>46240</v>
          </cell>
          <cell r="R86">
            <v>0</v>
          </cell>
        </row>
        <row r="87">
          <cell r="A87" t="str">
            <v>30P420180100-001</v>
          </cell>
          <cell r="C87">
            <v>3017</v>
          </cell>
          <cell r="D87">
            <v>3017</v>
          </cell>
          <cell r="E87">
            <v>12</v>
          </cell>
          <cell r="F87">
            <v>1</v>
          </cell>
          <cell r="G87" t="e">
            <v>#REF!</v>
          </cell>
          <cell r="I87">
            <v>46368</v>
          </cell>
          <cell r="J87">
            <v>46375</v>
          </cell>
          <cell r="K87">
            <v>46391</v>
          </cell>
          <cell r="M87">
            <v>0</v>
          </cell>
          <cell r="O87">
            <v>46394</v>
          </cell>
          <cell r="P87">
            <v>46327</v>
          </cell>
          <cell r="R87">
            <v>0</v>
          </cell>
        </row>
        <row r="88">
          <cell r="A88" t="str">
            <v>30P450024100-502</v>
          </cell>
          <cell r="B88" t="str">
            <v>FORMER 1 LEADING EDGE ASSEMBLY R.H.S</v>
          </cell>
          <cell r="C88">
            <v>3017</v>
          </cell>
          <cell r="D88">
            <v>3017</v>
          </cell>
          <cell r="E88">
            <v>12</v>
          </cell>
          <cell r="F88">
            <v>1</v>
          </cell>
          <cell r="G88" t="e">
            <v>#REF!</v>
          </cell>
          <cell r="I88">
            <v>46288</v>
          </cell>
          <cell r="J88">
            <v>46294</v>
          </cell>
          <cell r="K88">
            <v>46310</v>
          </cell>
          <cell r="M88">
            <v>0</v>
          </cell>
          <cell r="O88">
            <v>46313</v>
          </cell>
          <cell r="P88">
            <v>46306</v>
          </cell>
          <cell r="R88">
            <v>0</v>
          </cell>
        </row>
        <row r="89">
          <cell r="A89" t="str">
            <v>30P410178501-501</v>
          </cell>
          <cell r="C89">
            <v>3017</v>
          </cell>
          <cell r="D89">
            <v>3017</v>
          </cell>
          <cell r="E89">
            <v>31</v>
          </cell>
          <cell r="F89">
            <v>1</v>
          </cell>
          <cell r="G89" t="e">
            <v>#REF!</v>
          </cell>
          <cell r="I89" t="e">
            <v>#N/A</v>
          </cell>
          <cell r="J89" t="e">
            <v>#N/A</v>
          </cell>
          <cell r="K89" t="e">
            <v>#N/A</v>
          </cell>
          <cell r="M89">
            <v>0</v>
          </cell>
          <cell r="N89" t="str">
            <v>3-4 ימים</v>
          </cell>
          <cell r="O89" t="e">
            <v>#N/A</v>
          </cell>
          <cell r="P89">
            <v>46324</v>
          </cell>
          <cell r="R89">
            <v>0</v>
          </cell>
        </row>
        <row r="90">
          <cell r="A90" t="str">
            <v>30P450175100-501</v>
          </cell>
          <cell r="C90">
            <v>3017</v>
          </cell>
          <cell r="D90">
            <v>3017</v>
          </cell>
          <cell r="E90">
            <v>12</v>
          </cell>
          <cell r="F90">
            <v>1</v>
          </cell>
          <cell r="G90" t="e">
            <v>#REF!</v>
          </cell>
          <cell r="I90" t="e">
            <v>#N/A</v>
          </cell>
          <cell r="J90" t="e">
            <v>#N/A</v>
          </cell>
          <cell r="K90" t="e">
            <v>#N/A</v>
          </cell>
          <cell r="M90">
            <v>0</v>
          </cell>
          <cell r="N90" t="str">
            <v>3-4 ימים</v>
          </cell>
          <cell r="O90" t="e">
            <v>#N/A</v>
          </cell>
          <cell r="P90">
            <v>46322</v>
          </cell>
          <cell r="R90">
            <v>0</v>
          </cell>
        </row>
        <row r="91">
          <cell r="A91" t="str">
            <v>30P310029000-007</v>
          </cell>
          <cell r="C91">
            <v>3017</v>
          </cell>
          <cell r="D91">
            <v>3017</v>
          </cell>
          <cell r="E91">
            <v>60</v>
          </cell>
          <cell r="F91">
            <v>1</v>
          </cell>
          <cell r="G91" t="e">
            <v>#REF!</v>
          </cell>
          <cell r="I91" t="str">
            <v>V</v>
          </cell>
          <cell r="J91" t="str">
            <v>V</v>
          </cell>
          <cell r="K91">
            <v>46254</v>
          </cell>
          <cell r="M91" t="str">
            <v>לפי רומן צפי סיום 20/08</v>
          </cell>
          <cell r="O91">
            <v>46259</v>
          </cell>
          <cell r="P91">
            <v>46392</v>
          </cell>
          <cell r="R91" t="str">
            <v>חלקים מוכנים כל ההזמנות ממתין לאישור אספקה</v>
          </cell>
        </row>
        <row r="92">
          <cell r="A92" t="str">
            <v>30P583610100-001</v>
          </cell>
          <cell r="C92">
            <v>3017</v>
          </cell>
          <cell r="D92">
            <v>3017</v>
          </cell>
          <cell r="E92">
            <v>12</v>
          </cell>
          <cell r="F92">
            <v>1</v>
          </cell>
          <cell r="G92" t="e">
            <v>#REF!</v>
          </cell>
          <cell r="I92">
            <v>46253</v>
          </cell>
          <cell r="J92">
            <v>46260</v>
          </cell>
          <cell r="K92">
            <v>46276</v>
          </cell>
          <cell r="M92">
            <v>0</v>
          </cell>
          <cell r="O92">
            <v>46279</v>
          </cell>
          <cell r="P92">
            <v>46331</v>
          </cell>
          <cell r="R92">
            <v>0</v>
          </cell>
        </row>
        <row r="93">
          <cell r="A93" t="str">
            <v>30P531123200-001</v>
          </cell>
          <cell r="B93" t="str">
            <v>EXCENTER</v>
          </cell>
          <cell r="C93">
            <v>3018</v>
          </cell>
          <cell r="D93">
            <v>3018</v>
          </cell>
          <cell r="E93">
            <v>117</v>
          </cell>
          <cell r="F93">
            <v>1</v>
          </cell>
          <cell r="G93" t="e">
            <v>#REF!</v>
          </cell>
          <cell r="I93">
            <v>46217</v>
          </cell>
          <cell r="J93" t="e">
            <v>#N/A</v>
          </cell>
          <cell r="K93" t="e">
            <v>#N/A</v>
          </cell>
          <cell r="M93" t="str">
            <v>אביג</v>
          </cell>
          <cell r="O93" t="e">
            <v>#N/A</v>
          </cell>
          <cell r="P93">
            <v>46300</v>
          </cell>
          <cell r="R93" t="str">
            <v>יוצא לתהליכים</v>
          </cell>
        </row>
        <row r="94">
          <cell r="A94" t="str">
            <v>30P450174901-501</v>
          </cell>
          <cell r="B94" t="str">
            <v>FITTING UPPER BRACE ASSY L.H.S</v>
          </cell>
          <cell r="C94">
            <v>3018</v>
          </cell>
          <cell r="D94">
            <v>3018</v>
          </cell>
          <cell r="E94">
            <v>12</v>
          </cell>
          <cell r="F94">
            <v>1</v>
          </cell>
          <cell r="G94" t="e">
            <v>#REF!</v>
          </cell>
          <cell r="I94">
            <v>46250</v>
          </cell>
          <cell r="J94">
            <v>46254</v>
          </cell>
          <cell r="K94">
            <v>46270</v>
          </cell>
          <cell r="M94">
            <v>0</v>
          </cell>
          <cell r="O94">
            <v>46273</v>
          </cell>
          <cell r="P94">
            <v>46336</v>
          </cell>
          <cell r="R94" t="e">
            <v>#N/A</v>
          </cell>
        </row>
        <row r="95">
          <cell r="A95" t="str">
            <v>30P450174701-501</v>
          </cell>
          <cell r="B95" t="str">
            <v>FITTING UPPER BRACE ASSY R.H.S</v>
          </cell>
          <cell r="C95">
            <v>3018</v>
          </cell>
          <cell r="D95">
            <v>3018</v>
          </cell>
          <cell r="E95">
            <v>17</v>
          </cell>
          <cell r="F95">
            <v>1</v>
          </cell>
          <cell r="G95" t="e">
            <v>#REF!</v>
          </cell>
          <cell r="I95">
            <v>46243</v>
          </cell>
          <cell r="J95">
            <v>46250</v>
          </cell>
          <cell r="K95">
            <v>46266</v>
          </cell>
          <cell r="L95">
            <v>46259</v>
          </cell>
          <cell r="M95">
            <v>0</v>
          </cell>
          <cell r="O95">
            <v>46269</v>
          </cell>
          <cell r="P95">
            <v>46295</v>
          </cell>
          <cell r="R95" t="e">
            <v>#N/A</v>
          </cell>
        </row>
        <row r="96">
          <cell r="A96" t="str">
            <v>30P450171600-001</v>
          </cell>
          <cell r="B96" t="str">
            <v>FITTING 1 HSTA UPPER ATTACH BOTTOM L.H.S</v>
          </cell>
          <cell r="C96">
            <v>3018</v>
          </cell>
          <cell r="D96">
            <v>3018</v>
          </cell>
          <cell r="E96">
            <v>49</v>
          </cell>
          <cell r="F96">
            <v>2</v>
          </cell>
          <cell r="G96" t="e">
            <v>#REF!</v>
          </cell>
          <cell r="I96">
            <v>46328</v>
          </cell>
          <cell r="J96">
            <v>46336</v>
          </cell>
          <cell r="K96">
            <v>46352</v>
          </cell>
          <cell r="L96" t="str">
            <v>אין</v>
          </cell>
          <cell r="M96">
            <v>0</v>
          </cell>
          <cell r="O96">
            <v>46355</v>
          </cell>
          <cell r="P96">
            <v>46349</v>
          </cell>
          <cell r="R96" t="e">
            <v>#N/A</v>
          </cell>
        </row>
        <row r="97">
          <cell r="A97" t="str">
            <v>30P430211100-501</v>
          </cell>
          <cell r="C97">
            <v>3018</v>
          </cell>
          <cell r="D97">
            <v>3018</v>
          </cell>
          <cell r="E97">
            <v>12</v>
          </cell>
          <cell r="F97">
            <v>1</v>
          </cell>
          <cell r="G97" t="e">
            <v>#REF!</v>
          </cell>
          <cell r="I97">
            <v>46358</v>
          </cell>
          <cell r="J97">
            <v>46364</v>
          </cell>
          <cell r="K97">
            <v>46380</v>
          </cell>
          <cell r="M97">
            <v>0</v>
          </cell>
          <cell r="N97" t="str">
            <v>3-4 ימים</v>
          </cell>
          <cell r="O97">
            <v>46383</v>
          </cell>
          <cell r="P97">
            <v>46349</v>
          </cell>
          <cell r="R97" t="e">
            <v>#N/A</v>
          </cell>
        </row>
        <row r="98">
          <cell r="A98" t="str">
            <v>30P450161200-002</v>
          </cell>
          <cell r="C98">
            <v>3018</v>
          </cell>
          <cell r="D98">
            <v>3018</v>
          </cell>
          <cell r="E98">
            <v>12</v>
          </cell>
          <cell r="F98">
            <v>1</v>
          </cell>
          <cell r="G98" t="e">
            <v>#REF!</v>
          </cell>
          <cell r="I98" t="e">
            <v>#N/A</v>
          </cell>
          <cell r="J98" t="e">
            <v>#N/A</v>
          </cell>
          <cell r="K98" t="e">
            <v>#N/A</v>
          </cell>
          <cell r="M98">
            <v>0</v>
          </cell>
          <cell r="O98" t="e">
            <v>#N/A</v>
          </cell>
          <cell r="P98">
            <v>46349</v>
          </cell>
          <cell r="R98" t="e">
            <v>#N/A</v>
          </cell>
        </row>
        <row r="99">
          <cell r="A99" t="str">
            <v>4AS2710103-001</v>
          </cell>
          <cell r="B99" t="str">
            <v>WASHER</v>
          </cell>
          <cell r="C99">
            <v>3018</v>
          </cell>
          <cell r="D99">
            <v>3018</v>
          </cell>
          <cell r="E99">
            <v>84</v>
          </cell>
          <cell r="F99">
            <v>1</v>
          </cell>
          <cell r="G99" t="e">
            <v>#REF!</v>
          </cell>
          <cell r="I99">
            <v>46184</v>
          </cell>
          <cell r="J99" t="e">
            <v>#N/A</v>
          </cell>
          <cell r="K99" t="e">
            <v>#N/A</v>
          </cell>
          <cell r="L99" t="str">
            <v>אין</v>
          </cell>
          <cell r="M99" t="str">
            <v>לפי רומן צפי סיום - 30/07</v>
          </cell>
          <cell r="N99" t="str">
            <v>אין</v>
          </cell>
          <cell r="O99" t="e">
            <v>#N/A</v>
          </cell>
          <cell r="P99">
            <v>46334</v>
          </cell>
          <cell r="R99" t="str">
            <v>בהכנתFAI זימון מבקר</v>
          </cell>
        </row>
        <row r="100">
          <cell r="A100" t="str">
            <v>30P531149000-501</v>
          </cell>
          <cell r="B100" t="str">
            <v>FITTING ASSY - GUST LOCK SYSTEM</v>
          </cell>
          <cell r="C100">
            <v>3018</v>
          </cell>
          <cell r="D100">
            <v>3018</v>
          </cell>
          <cell r="E100">
            <v>12</v>
          </cell>
          <cell r="F100">
            <v>1</v>
          </cell>
          <cell r="G100" t="e">
            <v>#REF!</v>
          </cell>
          <cell r="I100">
            <v>46355</v>
          </cell>
          <cell r="J100">
            <v>46361</v>
          </cell>
          <cell r="K100">
            <v>46377</v>
          </cell>
          <cell r="M100">
            <v>0</v>
          </cell>
          <cell r="O100">
            <v>46380</v>
          </cell>
          <cell r="P100">
            <v>46349</v>
          </cell>
          <cell r="R100" t="e">
            <v>#N/A</v>
          </cell>
        </row>
        <row r="101">
          <cell r="A101" t="str">
            <v>30P410022100-501</v>
          </cell>
          <cell r="B101" t="str">
            <v>FORMER 1 ASSEMBLY</v>
          </cell>
          <cell r="C101">
            <v>3018</v>
          </cell>
          <cell r="D101">
            <v>3018</v>
          </cell>
          <cell r="E101">
            <v>12</v>
          </cell>
          <cell r="F101">
            <v>1</v>
          </cell>
          <cell r="G101" t="e">
            <v>#REF!</v>
          </cell>
          <cell r="I101">
            <v>46345</v>
          </cell>
          <cell r="J101">
            <v>46350</v>
          </cell>
          <cell r="K101">
            <v>46366</v>
          </cell>
          <cell r="M101">
            <v>0</v>
          </cell>
          <cell r="N101" t="str">
            <v>3-4 ימים</v>
          </cell>
          <cell r="O101">
            <v>46369</v>
          </cell>
          <cell r="P101">
            <v>46363</v>
          </cell>
          <cell r="R101" t="e">
            <v>#N/A</v>
          </cell>
        </row>
        <row r="102">
          <cell r="A102" t="str">
            <v>30P450155000-502</v>
          </cell>
          <cell r="B102" t="str">
            <v>INTERCOSTAL RIB 2-3 ASSEMBLY R.H.S</v>
          </cell>
          <cell r="C102">
            <v>3018</v>
          </cell>
          <cell r="D102">
            <v>3018</v>
          </cell>
          <cell r="I102">
            <v>46276</v>
          </cell>
          <cell r="J102">
            <v>46288</v>
          </cell>
          <cell r="K102">
            <v>46304</v>
          </cell>
          <cell r="M102">
            <v>0</v>
          </cell>
          <cell r="O102">
            <v>46307</v>
          </cell>
          <cell r="P102">
            <v>46336</v>
          </cell>
          <cell r="R102">
            <v>0</v>
          </cell>
        </row>
        <row r="103">
          <cell r="A103" t="str">
            <v>30P430211200-501</v>
          </cell>
          <cell r="B103" t="str">
            <v>BRACKET ELECTRICAL HARNESS SUPPORT ASSY</v>
          </cell>
          <cell r="C103">
            <v>3018</v>
          </cell>
          <cell r="D103">
            <v>3018</v>
          </cell>
          <cell r="E103">
            <v>12</v>
          </cell>
          <cell r="F103">
            <v>1</v>
          </cell>
          <cell r="G103" t="e">
            <v>#REF!</v>
          </cell>
          <cell r="I103">
            <v>46374</v>
          </cell>
          <cell r="J103">
            <v>46378</v>
          </cell>
          <cell r="K103">
            <v>46394</v>
          </cell>
          <cell r="M103">
            <v>0</v>
          </cell>
          <cell r="N103" t="str">
            <v>3-4 ימים</v>
          </cell>
          <cell r="O103">
            <v>46397</v>
          </cell>
          <cell r="P103">
            <v>46363</v>
          </cell>
          <cell r="R103">
            <v>0</v>
          </cell>
        </row>
        <row r="104">
          <cell r="A104" t="str">
            <v>30P410192202-001</v>
          </cell>
          <cell r="B104" t="str">
            <v>BUSHING</v>
          </cell>
          <cell r="C104">
            <v>3018</v>
          </cell>
          <cell r="D104">
            <v>3018</v>
          </cell>
          <cell r="E104">
            <v>44</v>
          </cell>
          <cell r="F104">
            <v>1</v>
          </cell>
          <cell r="G104" t="e">
            <v>#REF!</v>
          </cell>
          <cell r="I104">
            <v>46082</v>
          </cell>
          <cell r="J104" t="e">
            <v>#N/A</v>
          </cell>
          <cell r="K104" t="e">
            <v>#N/A</v>
          </cell>
          <cell r="L104">
            <v>46196</v>
          </cell>
          <cell r="M104" t="str">
            <v>חלקים חזרו עם תלונת לקוח חספק תהליכים .ממתינים לתגובת הספק באשמת מי הבעיה ומה המשך טיפול</v>
          </cell>
          <cell r="N104" t="str">
            <v>אין</v>
          </cell>
          <cell r="O104" t="e">
            <v>#N/A</v>
          </cell>
          <cell r="P104">
            <v>46322</v>
          </cell>
          <cell r="R104" t="str">
            <v>נמצא בתיקון ציפוי וסימון</v>
          </cell>
        </row>
        <row r="105">
          <cell r="A105" t="str">
            <v>30P410031500-001</v>
          </cell>
          <cell r="B105" t="str">
            <v>SPLICE RIB</v>
          </cell>
          <cell r="C105">
            <v>3018</v>
          </cell>
          <cell r="D105">
            <v>3018</v>
          </cell>
          <cell r="E105">
            <v>12</v>
          </cell>
          <cell r="I105">
            <v>46290</v>
          </cell>
          <cell r="J105">
            <v>46297</v>
          </cell>
          <cell r="K105">
            <v>46313</v>
          </cell>
          <cell r="M105">
            <v>0</v>
          </cell>
          <cell r="O105">
            <v>46316</v>
          </cell>
          <cell r="P105">
            <v>46239</v>
          </cell>
          <cell r="R105">
            <v>0</v>
          </cell>
        </row>
        <row r="106">
          <cell r="A106" t="str">
            <v>30P410181600-001</v>
          </cell>
          <cell r="C106">
            <v>3018</v>
          </cell>
          <cell r="D106">
            <v>3018</v>
          </cell>
          <cell r="E106">
            <v>27</v>
          </cell>
          <cell r="F106">
            <v>1</v>
          </cell>
          <cell r="G106" t="e">
            <v>#REF!</v>
          </cell>
          <cell r="I106" t="str">
            <v>V</v>
          </cell>
          <cell r="J106" t="e">
            <v>#N/A</v>
          </cell>
          <cell r="K106" t="e">
            <v>#N/A</v>
          </cell>
          <cell r="M106" t="str">
            <v>מיקרו צבע</v>
          </cell>
          <cell r="O106" t="e">
            <v>#N/A</v>
          </cell>
          <cell r="P106">
            <v>46351</v>
          </cell>
          <cell r="R106" t="str">
            <v>חלקים מוכנים כל ההזמנות ממתין לאישור אספקה</v>
          </cell>
        </row>
        <row r="107">
          <cell r="A107" t="str">
            <v>30P430212200-502</v>
          </cell>
          <cell r="C107">
            <v>3018</v>
          </cell>
          <cell r="D107">
            <v>3018</v>
          </cell>
          <cell r="E107">
            <v>12</v>
          </cell>
          <cell r="F107">
            <v>1</v>
          </cell>
          <cell r="G107" t="e">
            <v>#REF!</v>
          </cell>
          <cell r="I107" t="e">
            <v>#N/A</v>
          </cell>
          <cell r="J107" t="e">
            <v>#N/A</v>
          </cell>
          <cell r="K107" t="e">
            <v>#N/A</v>
          </cell>
          <cell r="M107">
            <v>0</v>
          </cell>
          <cell r="N107" t="str">
            <v>3-4 ימים</v>
          </cell>
          <cell r="O107" t="e">
            <v>#N/A</v>
          </cell>
          <cell r="P107">
            <v>46336</v>
          </cell>
          <cell r="R107">
            <v>0</v>
          </cell>
        </row>
        <row r="108">
          <cell r="A108" t="str">
            <v>30P410022300-502</v>
          </cell>
          <cell r="C108">
            <v>3018</v>
          </cell>
          <cell r="D108">
            <v>3018</v>
          </cell>
          <cell r="E108">
            <v>12</v>
          </cell>
          <cell r="F108">
            <v>1</v>
          </cell>
          <cell r="G108" t="e">
            <v>#REF!</v>
          </cell>
          <cell r="I108">
            <v>46336</v>
          </cell>
          <cell r="J108">
            <v>46343</v>
          </cell>
          <cell r="K108">
            <v>46359</v>
          </cell>
          <cell r="M108">
            <v>0</v>
          </cell>
          <cell r="O108">
            <v>46362</v>
          </cell>
          <cell r="P108">
            <v>46363</v>
          </cell>
          <cell r="R108">
            <v>0</v>
          </cell>
        </row>
        <row r="109">
          <cell r="A109" t="str">
            <v>30P357207600-501</v>
          </cell>
          <cell r="C109">
            <v>3018</v>
          </cell>
          <cell r="D109">
            <v>3018</v>
          </cell>
          <cell r="E109">
            <v>258</v>
          </cell>
          <cell r="F109">
            <v>4</v>
          </cell>
          <cell r="G109" t="e">
            <v>#REF!</v>
          </cell>
          <cell r="I109">
            <v>46091</v>
          </cell>
          <cell r="J109" t="e">
            <v>#N/A</v>
          </cell>
          <cell r="K109" t="e">
            <v>#N/A</v>
          </cell>
          <cell r="L109">
            <v>46254</v>
          </cell>
          <cell r="M109" t="str">
            <v>תעשייה אווירית לפי תשובה מרומן מ10.08 -צפי סיום 20.08</v>
          </cell>
          <cell r="N109" t="str">
            <v>3-4 ימים</v>
          </cell>
          <cell r="O109">
            <v>46259</v>
          </cell>
          <cell r="P109">
            <v>46406</v>
          </cell>
          <cell r="R109" t="str">
            <v>יצא לתהליכים</v>
          </cell>
        </row>
        <row r="110">
          <cell r="A110" t="str">
            <v>4AS2830120-503</v>
          </cell>
          <cell r="C110">
            <v>3018</v>
          </cell>
          <cell r="D110">
            <v>3018</v>
          </cell>
          <cell r="E110">
            <v>12</v>
          </cell>
          <cell r="F110">
            <v>1</v>
          </cell>
          <cell r="G110" t="e">
            <v>#REF!</v>
          </cell>
          <cell r="I110">
            <v>46378</v>
          </cell>
          <cell r="J110">
            <v>46386</v>
          </cell>
          <cell r="K110">
            <v>46402</v>
          </cell>
          <cell r="M110">
            <v>0</v>
          </cell>
          <cell r="N110" t="str">
            <v>3-4 ימים</v>
          </cell>
          <cell r="O110">
            <v>46405</v>
          </cell>
          <cell r="P110">
            <v>46420</v>
          </cell>
          <cell r="R110">
            <v>0</v>
          </cell>
        </row>
        <row r="111">
          <cell r="A111" t="str">
            <v>30P331076700-501</v>
          </cell>
          <cell r="C111">
            <v>3018</v>
          </cell>
          <cell r="D111">
            <v>3018</v>
          </cell>
          <cell r="F111">
            <v>1</v>
          </cell>
          <cell r="G111" t="e">
            <v>#REF!</v>
          </cell>
          <cell r="I111" t="str">
            <v>ממתין לשינוי פריט</v>
          </cell>
          <cell r="M111">
            <v>0</v>
          </cell>
          <cell r="O111">
            <v>3</v>
          </cell>
          <cell r="P111">
            <v>46420</v>
          </cell>
          <cell r="R111" t="str">
            <v>לפי תשובה של אפרים -פריט זה אינו מתאים- אנו לא מבצעים שינוי פנימי</v>
          </cell>
        </row>
        <row r="112">
          <cell r="A112" t="str">
            <v>30P310029601-001</v>
          </cell>
          <cell r="C112">
            <v>3018</v>
          </cell>
          <cell r="D112">
            <v>3018</v>
          </cell>
          <cell r="E112">
            <v>12</v>
          </cell>
          <cell r="F112">
            <v>1</v>
          </cell>
          <cell r="G112" t="e">
            <v>#REF!</v>
          </cell>
          <cell r="I112">
            <v>46406</v>
          </cell>
          <cell r="J112">
            <v>46412</v>
          </cell>
          <cell r="K112">
            <v>46428</v>
          </cell>
          <cell r="M112">
            <v>0</v>
          </cell>
          <cell r="O112">
            <v>46431</v>
          </cell>
          <cell r="P112">
            <v>46420</v>
          </cell>
          <cell r="R112">
            <v>0</v>
          </cell>
        </row>
        <row r="113">
          <cell r="A113" t="str">
            <v>30P355126700-001</v>
          </cell>
          <cell r="C113">
            <v>3018</v>
          </cell>
          <cell r="D113">
            <v>3018</v>
          </cell>
          <cell r="E113">
            <v>12</v>
          </cell>
          <cell r="I113">
            <v>46391</v>
          </cell>
          <cell r="J113">
            <v>46399</v>
          </cell>
          <cell r="K113">
            <v>46415</v>
          </cell>
          <cell r="M113">
            <v>0</v>
          </cell>
          <cell r="O113">
            <v>46418</v>
          </cell>
          <cell r="P113">
            <v>46434</v>
          </cell>
          <cell r="R113">
            <v>0</v>
          </cell>
        </row>
        <row r="114">
          <cell r="A114" t="str">
            <v>4AS9910013-003</v>
          </cell>
          <cell r="C114">
            <v>3018</v>
          </cell>
          <cell r="D114">
            <v>3018</v>
          </cell>
          <cell r="E114">
            <v>12</v>
          </cell>
          <cell r="I114" t="str">
            <v>MAKE FROM G-277-1/2X31/2</v>
          </cell>
          <cell r="M114">
            <v>0</v>
          </cell>
          <cell r="O114">
            <v>3</v>
          </cell>
          <cell r="P114">
            <v>46477</v>
          </cell>
          <cell r="R114" t="str">
            <v>MAKE FROM G-277-1/2X31/2 ממתין לקשיחים</v>
          </cell>
        </row>
        <row r="115">
          <cell r="A115" t="str">
            <v>30P410192302-001</v>
          </cell>
          <cell r="C115">
            <v>3018</v>
          </cell>
          <cell r="D115">
            <v>3018</v>
          </cell>
          <cell r="I115" t="str">
            <v>V</v>
          </cell>
          <cell r="J115" t="str">
            <v>V</v>
          </cell>
          <cell r="K115" t="str">
            <v>V</v>
          </cell>
          <cell r="L115" t="str">
            <v>ממתינה לסטאטוס מרומן</v>
          </cell>
          <cell r="M115" t="str">
            <v>חלקים חזרו עם תלונת לקוח חספק תהליכים .ממתינים לתגובת הספק באשמת מי הבעיה ומה המשך טיפול</v>
          </cell>
          <cell r="O115" t="e">
            <v>#VALUE!</v>
          </cell>
          <cell r="P115">
            <v>46351</v>
          </cell>
          <cell r="R115" t="str">
            <v>חלקים חזרו עם תלונת לקוח חספק תהליכים .ממתינים לתגובת הספק באשמת מי הבעיה ומה המשך טיפול</v>
          </cell>
        </row>
        <row r="116">
          <cell r="A116" t="str">
            <v>30P450196901-001</v>
          </cell>
          <cell r="C116">
            <v>3019</v>
          </cell>
          <cell r="D116">
            <v>3019</v>
          </cell>
          <cell r="E116">
            <v>24</v>
          </cell>
          <cell r="F116">
            <v>1</v>
          </cell>
          <cell r="G116" t="e">
            <v>#REF!</v>
          </cell>
          <cell r="I116">
            <v>46145</v>
          </cell>
          <cell r="J116" t="e">
            <v>#N/A</v>
          </cell>
          <cell r="K116" t="e">
            <v>#N/A</v>
          </cell>
          <cell r="M116" t="str">
            <v>תעשייה אווירית צפי סיום לפי רומן 30.06</v>
          </cell>
          <cell r="O116" t="str">
            <v>ממתין לאישור</v>
          </cell>
          <cell r="P116">
            <v>46363</v>
          </cell>
          <cell r="R116" t="str">
            <v>חלקים מוכנים כל ההזמנות ממתין לאישור אספקה</v>
          </cell>
        </row>
        <row r="117">
          <cell r="A117" t="str">
            <v>30P783455300-501</v>
          </cell>
          <cell r="C117">
            <v>3019</v>
          </cell>
          <cell r="D117">
            <v>3019</v>
          </cell>
          <cell r="E117">
            <v>18</v>
          </cell>
          <cell r="F117">
            <v>1</v>
          </cell>
          <cell r="G117" t="e">
            <v>#REF!</v>
          </cell>
          <cell r="I117">
            <v>46224</v>
          </cell>
          <cell r="J117">
            <v>46245</v>
          </cell>
          <cell r="K117">
            <v>46260</v>
          </cell>
          <cell r="M117" t="str">
            <v>תעשייה אווירית</v>
          </cell>
          <cell r="N117" t="str">
            <v>3-4 ימים</v>
          </cell>
          <cell r="O117">
            <v>46264</v>
          </cell>
          <cell r="P117">
            <v>46203</v>
          </cell>
          <cell r="R117" t="str">
            <v>יצא לתהליכים לתעשייה אווירית</v>
          </cell>
        </row>
        <row r="118">
          <cell r="A118" t="str">
            <v>30P450120100-001</v>
          </cell>
          <cell r="C118">
            <v>3019</v>
          </cell>
          <cell r="D118">
            <v>3019</v>
          </cell>
          <cell r="E118">
            <v>12</v>
          </cell>
          <cell r="F118">
            <v>1</v>
          </cell>
          <cell r="G118" t="e">
            <v>#REF!</v>
          </cell>
          <cell r="I118">
            <v>46399</v>
          </cell>
          <cell r="J118">
            <v>46405</v>
          </cell>
          <cell r="K118">
            <v>46421</v>
          </cell>
          <cell r="M118">
            <v>0</v>
          </cell>
          <cell r="O118">
            <v>46424</v>
          </cell>
          <cell r="P118">
            <v>46351</v>
          </cell>
          <cell r="R118">
            <v>0</v>
          </cell>
        </row>
        <row r="119">
          <cell r="A119" t="str">
            <v>30P450175300-002</v>
          </cell>
          <cell r="B119" t="str">
            <v>FITTING RIB 1 R.H.S</v>
          </cell>
          <cell r="C119">
            <v>3019</v>
          </cell>
          <cell r="D119">
            <v>3019</v>
          </cell>
          <cell r="I119">
            <v>46284</v>
          </cell>
          <cell r="J119">
            <v>46290</v>
          </cell>
          <cell r="K119">
            <v>46306</v>
          </cell>
          <cell r="M119">
            <v>0</v>
          </cell>
          <cell r="O119">
            <v>46309</v>
          </cell>
          <cell r="P119">
            <v>46324</v>
          </cell>
          <cell r="R119">
            <v>0</v>
          </cell>
        </row>
        <row r="120">
          <cell r="A120" t="str">
            <v>30P410181901-001</v>
          </cell>
          <cell r="C120">
            <v>3019</v>
          </cell>
          <cell r="D120">
            <v>3019</v>
          </cell>
          <cell r="E120">
            <v>28</v>
          </cell>
          <cell r="F120">
            <v>1</v>
          </cell>
          <cell r="G120" t="e">
            <v>#REF!</v>
          </cell>
          <cell r="I120" t="str">
            <v>V</v>
          </cell>
          <cell r="J120" t="e">
            <v>#N/A</v>
          </cell>
          <cell r="K120" t="e">
            <v>#N/A</v>
          </cell>
          <cell r="M120" t="str">
            <v>מיקרו צבע</v>
          </cell>
          <cell r="O120" t="str">
            <v>ממתין לאישור</v>
          </cell>
          <cell r="P120">
            <v>46336</v>
          </cell>
          <cell r="R120" t="str">
            <v>חלקים מוכנים כל ההזמנות ממתין לאישור אספקה</v>
          </cell>
        </row>
        <row r="121">
          <cell r="A121" t="str">
            <v>30P450039100-001</v>
          </cell>
          <cell r="C121">
            <v>3019</v>
          </cell>
          <cell r="D121">
            <v>3019</v>
          </cell>
          <cell r="E121">
            <v>12</v>
          </cell>
          <cell r="F121">
            <v>1</v>
          </cell>
          <cell r="G121" t="e">
            <v>#REF!</v>
          </cell>
          <cell r="I121">
            <v>46377</v>
          </cell>
          <cell r="J121">
            <v>46382</v>
          </cell>
          <cell r="K121">
            <v>46398</v>
          </cell>
          <cell r="M121">
            <v>0</v>
          </cell>
          <cell r="O121">
            <v>46401</v>
          </cell>
          <cell r="P121">
            <v>46334</v>
          </cell>
        </row>
        <row r="122">
          <cell r="A122" t="str">
            <v>30P450177201-502</v>
          </cell>
          <cell r="C122">
            <v>3019</v>
          </cell>
          <cell r="D122">
            <v>3019</v>
          </cell>
          <cell r="E122">
            <v>15</v>
          </cell>
          <cell r="F122">
            <v>1</v>
          </cell>
          <cell r="G122" t="e">
            <v>#REF!</v>
          </cell>
          <cell r="I122">
            <v>46362</v>
          </cell>
          <cell r="J122">
            <v>46368</v>
          </cell>
          <cell r="K122">
            <v>46384</v>
          </cell>
          <cell r="M122">
            <v>0</v>
          </cell>
          <cell r="N122" t="str">
            <v>3-4 ימים</v>
          </cell>
          <cell r="O122">
            <v>46387</v>
          </cell>
          <cell r="P122">
            <v>46324</v>
          </cell>
          <cell r="R122">
            <v>0</v>
          </cell>
        </row>
        <row r="123">
          <cell r="A123" t="str">
            <v>30P410181701-001</v>
          </cell>
          <cell r="C123">
            <v>3019</v>
          </cell>
          <cell r="D123">
            <v>3019</v>
          </cell>
          <cell r="E123">
            <v>20</v>
          </cell>
          <cell r="I123" t="str">
            <v>V</v>
          </cell>
          <cell r="J123" t="str">
            <v>V</v>
          </cell>
          <cell r="K123" t="str">
            <v>V</v>
          </cell>
          <cell r="M123" t="str">
            <v>מיקרו צבע</v>
          </cell>
          <cell r="O123" t="str">
            <v>ממתין לאישור</v>
          </cell>
          <cell r="P123">
            <v>46336</v>
          </cell>
          <cell r="R123" t="str">
            <v>חלקים מוכנים כל ההזמנות ממתין לאישור אספקה</v>
          </cell>
        </row>
        <row r="124">
          <cell r="A124" t="str">
            <v>30P410131101-001</v>
          </cell>
          <cell r="C124">
            <v>3019</v>
          </cell>
          <cell r="D124">
            <v>3019</v>
          </cell>
          <cell r="E124">
            <v>12</v>
          </cell>
          <cell r="F124">
            <v>1</v>
          </cell>
          <cell r="G124" t="e">
            <v>#REF!</v>
          </cell>
          <cell r="I124">
            <v>46314</v>
          </cell>
          <cell r="J124">
            <v>46323</v>
          </cell>
          <cell r="K124">
            <v>46339</v>
          </cell>
          <cell r="M124">
            <v>0</v>
          </cell>
          <cell r="O124">
            <v>46342</v>
          </cell>
          <cell r="P124">
            <v>46271</v>
          </cell>
          <cell r="R124">
            <v>0</v>
          </cell>
        </row>
        <row r="125">
          <cell r="A125" t="str">
            <v>30P450177201-501</v>
          </cell>
          <cell r="C125">
            <v>3019</v>
          </cell>
          <cell r="D125">
            <v>3019</v>
          </cell>
          <cell r="E125">
            <v>15</v>
          </cell>
          <cell r="F125">
            <v>1</v>
          </cell>
          <cell r="G125" t="e">
            <v>#REF!</v>
          </cell>
          <cell r="I125">
            <v>46368</v>
          </cell>
          <cell r="J125">
            <v>46374</v>
          </cell>
          <cell r="K125">
            <v>46390</v>
          </cell>
          <cell r="M125">
            <v>0</v>
          </cell>
          <cell r="O125">
            <v>46393</v>
          </cell>
          <cell r="P125">
            <v>46324</v>
          </cell>
          <cell r="R125">
            <v>0</v>
          </cell>
        </row>
        <row r="126">
          <cell r="A126" t="str">
            <v>30P450155300-002</v>
          </cell>
          <cell r="C126">
            <v>3019</v>
          </cell>
          <cell r="D126">
            <v>3019</v>
          </cell>
          <cell r="E126">
            <v>12</v>
          </cell>
          <cell r="F126">
            <v>1</v>
          </cell>
          <cell r="G126" t="e">
            <v>#REF!</v>
          </cell>
          <cell r="I126">
            <v>46364</v>
          </cell>
          <cell r="J126">
            <v>46369</v>
          </cell>
          <cell r="K126">
            <v>46385</v>
          </cell>
          <cell r="M126">
            <v>0</v>
          </cell>
          <cell r="O126">
            <v>46388</v>
          </cell>
          <cell r="P126">
            <v>46351</v>
          </cell>
          <cell r="R126">
            <v>0</v>
          </cell>
        </row>
        <row r="127">
          <cell r="A127" t="str">
            <v>30P410179300-501</v>
          </cell>
          <cell r="C127">
            <v>3019</v>
          </cell>
          <cell r="D127">
            <v>3019</v>
          </cell>
          <cell r="E127">
            <v>97</v>
          </cell>
          <cell r="F127">
            <v>1</v>
          </cell>
          <cell r="G127" t="e">
            <v>#REF!</v>
          </cell>
          <cell r="I127" t="str">
            <v>V</v>
          </cell>
          <cell r="J127" t="str">
            <v>V</v>
          </cell>
          <cell r="K127">
            <v>46266</v>
          </cell>
          <cell r="M127" t="str">
            <v>צפי סיום תהליכים לפי רומן 30.08</v>
          </cell>
          <cell r="O127">
            <v>46269</v>
          </cell>
          <cell r="P127">
            <v>46336</v>
          </cell>
          <cell r="R127" t="str">
            <v>תעשייה אווירית שוט פינינג-30P410175300-001</v>
          </cell>
        </row>
        <row r="128">
          <cell r="A128" t="str">
            <v>30P410136000-501</v>
          </cell>
          <cell r="B128" t="str">
            <v>INTERCOSTAL 1 ASSEMBLY</v>
          </cell>
          <cell r="C128">
            <v>3019</v>
          </cell>
          <cell r="D128">
            <v>3019</v>
          </cell>
          <cell r="E128">
            <v>12</v>
          </cell>
          <cell r="F128">
            <v>1</v>
          </cell>
          <cell r="G128" t="e">
            <v>#REF!</v>
          </cell>
          <cell r="I128">
            <v>46259</v>
          </cell>
          <cell r="J128">
            <v>46268</v>
          </cell>
          <cell r="K128">
            <v>46284</v>
          </cell>
          <cell r="M128">
            <v>0</v>
          </cell>
          <cell r="N128" t="str">
            <v>3-4 ימים</v>
          </cell>
          <cell r="O128">
            <v>46287</v>
          </cell>
          <cell r="P128">
            <v>46342</v>
          </cell>
          <cell r="R128">
            <v>0</v>
          </cell>
        </row>
        <row r="129">
          <cell r="A129" t="str">
            <v>30P450155300-001</v>
          </cell>
          <cell r="C129">
            <v>3019</v>
          </cell>
          <cell r="D129">
            <v>3019</v>
          </cell>
          <cell r="E129">
            <v>12</v>
          </cell>
          <cell r="F129">
            <v>1</v>
          </cell>
          <cell r="G129" t="e">
            <v>#REF!</v>
          </cell>
          <cell r="I129">
            <v>46369</v>
          </cell>
          <cell r="J129">
            <v>46376</v>
          </cell>
          <cell r="K129">
            <v>46392</v>
          </cell>
          <cell r="M129">
            <v>0</v>
          </cell>
          <cell r="O129">
            <v>46395</v>
          </cell>
          <cell r="P129">
            <v>46351</v>
          </cell>
          <cell r="R129">
            <v>0</v>
          </cell>
        </row>
        <row r="130">
          <cell r="A130" t="str">
            <v>30P450171401-001</v>
          </cell>
          <cell r="C130">
            <v>3019</v>
          </cell>
          <cell r="D130">
            <v>3019</v>
          </cell>
          <cell r="E130">
            <v>24</v>
          </cell>
          <cell r="F130">
            <v>2</v>
          </cell>
          <cell r="G130" t="e">
            <v>#REF!</v>
          </cell>
          <cell r="I130">
            <v>46361</v>
          </cell>
          <cell r="J130">
            <v>46368</v>
          </cell>
          <cell r="K130">
            <v>46384</v>
          </cell>
          <cell r="M130">
            <v>0</v>
          </cell>
          <cell r="O130">
            <v>46387</v>
          </cell>
          <cell r="P130">
            <v>46363</v>
          </cell>
          <cell r="R130">
            <v>0</v>
          </cell>
        </row>
        <row r="131">
          <cell r="A131" t="str">
            <v>30P331007300-001</v>
          </cell>
          <cell r="C131">
            <v>3019</v>
          </cell>
          <cell r="D131">
            <v>3019</v>
          </cell>
          <cell r="E131">
            <v>12</v>
          </cell>
          <cell r="F131">
            <v>1</v>
          </cell>
          <cell r="G131" t="e">
            <v>#REF!</v>
          </cell>
          <cell r="I131">
            <v>46266</v>
          </cell>
          <cell r="J131">
            <v>46273</v>
          </cell>
          <cell r="K131">
            <v>46289</v>
          </cell>
          <cell r="M131">
            <v>0</v>
          </cell>
          <cell r="O131">
            <v>46292</v>
          </cell>
          <cell r="P131">
            <v>46406</v>
          </cell>
          <cell r="R131">
            <v>0</v>
          </cell>
        </row>
        <row r="132">
          <cell r="A132" t="str">
            <v>30P313472100-501</v>
          </cell>
          <cell r="C132">
            <v>3019</v>
          </cell>
          <cell r="D132">
            <v>3019</v>
          </cell>
          <cell r="E132">
            <v>12</v>
          </cell>
          <cell r="F132">
            <v>1</v>
          </cell>
          <cell r="G132" t="e">
            <v>#REF!</v>
          </cell>
          <cell r="I132">
            <v>46308</v>
          </cell>
          <cell r="J132">
            <v>46313</v>
          </cell>
          <cell r="K132">
            <v>46329</v>
          </cell>
          <cell r="M132">
            <v>0</v>
          </cell>
          <cell r="O132">
            <v>46332</v>
          </cell>
          <cell r="P132">
            <v>46434</v>
          </cell>
          <cell r="R132">
            <v>0</v>
          </cell>
        </row>
        <row r="133">
          <cell r="A133" t="str">
            <v>30P315494800-001</v>
          </cell>
          <cell r="C133">
            <v>3019</v>
          </cell>
          <cell r="D133">
            <v>3019</v>
          </cell>
          <cell r="E133">
            <v>12</v>
          </cell>
          <cell r="F133">
            <v>1</v>
          </cell>
          <cell r="G133" t="e">
            <v>#REF!</v>
          </cell>
          <cell r="I133">
            <v>46323</v>
          </cell>
          <cell r="J133">
            <v>46328</v>
          </cell>
          <cell r="K133">
            <v>46344</v>
          </cell>
          <cell r="M133">
            <v>0</v>
          </cell>
          <cell r="O133">
            <v>46347</v>
          </cell>
          <cell r="P133">
            <v>46434</v>
          </cell>
          <cell r="R133">
            <v>0</v>
          </cell>
        </row>
        <row r="134">
          <cell r="A134" t="str">
            <v>30P357350200-501</v>
          </cell>
          <cell r="C134">
            <v>3019</v>
          </cell>
          <cell r="D134">
            <v>3019</v>
          </cell>
          <cell r="E134">
            <v>12</v>
          </cell>
          <cell r="F134">
            <v>1</v>
          </cell>
          <cell r="G134" t="e">
            <v>#REF!</v>
          </cell>
          <cell r="I134">
            <v>46299</v>
          </cell>
          <cell r="J134">
            <v>46304</v>
          </cell>
          <cell r="K134">
            <v>46320</v>
          </cell>
          <cell r="M134">
            <v>0</v>
          </cell>
          <cell r="O134">
            <v>46323</v>
          </cell>
          <cell r="P134">
            <v>46434</v>
          </cell>
          <cell r="R134">
            <v>0</v>
          </cell>
        </row>
        <row r="135">
          <cell r="A135" t="str">
            <v>30P357201301-501</v>
          </cell>
          <cell r="C135">
            <v>3019</v>
          </cell>
          <cell r="D135">
            <v>3019</v>
          </cell>
          <cell r="E135">
            <v>12</v>
          </cell>
          <cell r="F135">
            <v>1</v>
          </cell>
          <cell r="G135" t="e">
            <v>#REF!</v>
          </cell>
          <cell r="I135">
            <v>46348</v>
          </cell>
          <cell r="J135">
            <v>46353</v>
          </cell>
          <cell r="K135">
            <v>46369</v>
          </cell>
          <cell r="M135">
            <v>0</v>
          </cell>
          <cell r="O135">
            <v>46372</v>
          </cell>
          <cell r="P135">
            <v>46420</v>
          </cell>
          <cell r="R135">
            <v>0</v>
          </cell>
        </row>
        <row r="136">
          <cell r="A136" t="str">
            <v>30P357201501-501</v>
          </cell>
          <cell r="C136">
            <v>3019</v>
          </cell>
          <cell r="D136">
            <v>3019</v>
          </cell>
          <cell r="E136">
            <v>12</v>
          </cell>
          <cell r="F136">
            <v>1</v>
          </cell>
          <cell r="G136" t="e">
            <v>#REF!</v>
          </cell>
          <cell r="H136" t="str">
            <v>3+5 צירים</v>
          </cell>
          <cell r="I136">
            <v>46343</v>
          </cell>
          <cell r="J136">
            <v>46348</v>
          </cell>
          <cell r="K136">
            <v>46364</v>
          </cell>
          <cell r="M136">
            <v>0</v>
          </cell>
          <cell r="O136">
            <v>46367</v>
          </cell>
          <cell r="P136">
            <v>46420</v>
          </cell>
          <cell r="R136">
            <v>0</v>
          </cell>
        </row>
        <row r="137">
          <cell r="A137" t="str">
            <v>30P783301100-501</v>
          </cell>
          <cell r="C137">
            <v>3019</v>
          </cell>
          <cell r="D137">
            <v>3019</v>
          </cell>
          <cell r="E137">
            <v>12</v>
          </cell>
          <cell r="F137">
            <v>1</v>
          </cell>
          <cell r="G137" t="e">
            <v>#REF!</v>
          </cell>
          <cell r="H137" t="str">
            <v>חריטה+כרסום5 צירים</v>
          </cell>
          <cell r="I137">
            <v>46257</v>
          </cell>
          <cell r="J137">
            <v>46264</v>
          </cell>
          <cell r="K137">
            <v>46280</v>
          </cell>
          <cell r="M137">
            <v>0</v>
          </cell>
          <cell r="N137" t="str">
            <v>3-4 ימים</v>
          </cell>
          <cell r="O137">
            <v>46283</v>
          </cell>
          <cell r="P137">
            <v>46420</v>
          </cell>
          <cell r="R137">
            <v>0</v>
          </cell>
        </row>
        <row r="138">
          <cell r="A138" t="str">
            <v>30P531146000-501</v>
          </cell>
          <cell r="C138">
            <v>3019</v>
          </cell>
          <cell r="D138">
            <v>3019</v>
          </cell>
          <cell r="E138">
            <v>12</v>
          </cell>
          <cell r="F138">
            <v>1</v>
          </cell>
          <cell r="G138" t="e">
            <v>#REF!</v>
          </cell>
          <cell r="I138">
            <v>46424</v>
          </cell>
          <cell r="J138">
            <v>46430</v>
          </cell>
          <cell r="K138">
            <v>46446</v>
          </cell>
          <cell r="M138">
            <v>0</v>
          </cell>
          <cell r="O138">
            <v>46449</v>
          </cell>
          <cell r="P138">
            <v>46420</v>
          </cell>
          <cell r="R138">
            <v>0</v>
          </cell>
        </row>
        <row r="139">
          <cell r="A139" t="str">
            <v>30P141435000-501</v>
          </cell>
          <cell r="C139">
            <v>3019</v>
          </cell>
          <cell r="D139">
            <v>3019</v>
          </cell>
          <cell r="E139">
            <v>12</v>
          </cell>
          <cell r="I139">
            <v>46353</v>
          </cell>
          <cell r="J139">
            <v>46358</v>
          </cell>
          <cell r="K139">
            <v>46374</v>
          </cell>
          <cell r="M139">
            <v>0</v>
          </cell>
          <cell r="O139">
            <v>46377</v>
          </cell>
          <cell r="P139">
            <v>46462</v>
          </cell>
          <cell r="R139">
            <v>0</v>
          </cell>
        </row>
        <row r="140">
          <cell r="A140" t="str">
            <v>30P283003300-002</v>
          </cell>
          <cell r="C140">
            <v>3019</v>
          </cell>
          <cell r="D140">
            <v>3019</v>
          </cell>
          <cell r="E140">
            <v>12</v>
          </cell>
          <cell r="I140">
            <v>46260</v>
          </cell>
          <cell r="J140">
            <v>46265</v>
          </cell>
          <cell r="K140">
            <v>46281</v>
          </cell>
          <cell r="M140">
            <v>0</v>
          </cell>
          <cell r="O140">
            <v>46284</v>
          </cell>
          <cell r="P140">
            <v>46448</v>
          </cell>
          <cell r="R140">
            <v>0</v>
          </cell>
        </row>
        <row r="141">
          <cell r="A141" t="str">
            <v>30P265023000-001</v>
          </cell>
          <cell r="C141">
            <v>3019</v>
          </cell>
          <cell r="D141">
            <v>3019</v>
          </cell>
          <cell r="E141">
            <v>12</v>
          </cell>
          <cell r="I141">
            <v>46278</v>
          </cell>
          <cell r="J141">
            <v>46283</v>
          </cell>
          <cell r="K141">
            <v>46299</v>
          </cell>
          <cell r="M141">
            <v>0</v>
          </cell>
          <cell r="O141">
            <v>46302</v>
          </cell>
          <cell r="P141">
            <v>46434</v>
          </cell>
          <cell r="R141">
            <v>0</v>
          </cell>
        </row>
        <row r="142">
          <cell r="A142" t="str">
            <v>30P310029000-005</v>
          </cell>
          <cell r="C142">
            <v>3019</v>
          </cell>
          <cell r="D142">
            <v>3019</v>
          </cell>
          <cell r="E142">
            <v>54</v>
          </cell>
          <cell r="I142" t="str">
            <v>V</v>
          </cell>
          <cell r="J142" t="str">
            <v>V</v>
          </cell>
          <cell r="K142">
            <v>46254</v>
          </cell>
          <cell r="M142" t="str">
            <v>תעשייה אווירית -צפי סיום לפי רומן 20.08</v>
          </cell>
          <cell r="O142">
            <v>46259</v>
          </cell>
          <cell r="P142">
            <v>46434</v>
          </cell>
          <cell r="R142" t="str">
            <v>בתהליכים בתעשייה אווירית</v>
          </cell>
        </row>
        <row r="143">
          <cell r="A143" t="str">
            <v>30P310029701-001</v>
          </cell>
          <cell r="C143">
            <v>3019</v>
          </cell>
          <cell r="D143">
            <v>3019</v>
          </cell>
          <cell r="E143">
            <v>12</v>
          </cell>
          <cell r="I143">
            <v>46412</v>
          </cell>
          <cell r="J143">
            <v>46419</v>
          </cell>
          <cell r="K143">
            <v>46435</v>
          </cell>
          <cell r="M143">
            <v>0</v>
          </cell>
          <cell r="O143">
            <v>46438</v>
          </cell>
          <cell r="P143">
            <v>46434</v>
          </cell>
          <cell r="R143">
            <v>0</v>
          </cell>
        </row>
        <row r="144">
          <cell r="A144" t="str">
            <v>4AS9910013-001</v>
          </cell>
          <cell r="C144">
            <v>3019</v>
          </cell>
          <cell r="D144">
            <v>3019</v>
          </cell>
          <cell r="E144">
            <v>12</v>
          </cell>
          <cell r="I144" t="str">
            <v>MAKE FROM G-277-3/8X21/2 ממתין לקשיחים</v>
          </cell>
          <cell r="M144">
            <v>0</v>
          </cell>
          <cell r="O144" t="str">
            <v>ממתין לקשיחים</v>
          </cell>
          <cell r="P144">
            <v>46491</v>
          </cell>
          <cell r="R144" t="str">
            <v>MAKE FROM G-277-3/8X21/2 ממתין לקשיחים</v>
          </cell>
        </row>
        <row r="145">
          <cell r="A145" t="str">
            <v>30P647003200-002</v>
          </cell>
          <cell r="C145">
            <v>3019</v>
          </cell>
          <cell r="D145">
            <v>3019</v>
          </cell>
          <cell r="E145">
            <v>13</v>
          </cell>
          <cell r="F145">
            <v>1</v>
          </cell>
          <cell r="G145" t="e">
            <v>#REF!</v>
          </cell>
          <cell r="I145" t="str">
            <v>V</v>
          </cell>
          <cell r="J145" t="e">
            <v>#N/A</v>
          </cell>
          <cell r="K145" t="e">
            <v>#N/A</v>
          </cell>
          <cell r="M145" t="str">
            <v>גבי שואף</v>
          </cell>
          <cell r="O145" t="str">
            <v>ממתין לאישור</v>
          </cell>
          <cell r="P145">
            <v>46420</v>
          </cell>
          <cell r="R145" t="str">
            <v>עבר FAI חלקים מוכנים ממתינים לאישור אספקה</v>
          </cell>
        </row>
        <row r="146">
          <cell r="A146" t="str">
            <v>30P450025701-002</v>
          </cell>
          <cell r="C146">
            <v>3020</v>
          </cell>
          <cell r="D146">
            <v>3020</v>
          </cell>
          <cell r="E146">
            <v>12</v>
          </cell>
          <cell r="F146">
            <v>1</v>
          </cell>
          <cell r="G146" t="e">
            <v>#REF!</v>
          </cell>
          <cell r="I146">
            <v>46210</v>
          </cell>
          <cell r="J146" t="e">
            <v>#N/A</v>
          </cell>
          <cell r="K146" t="e">
            <v>#N/A</v>
          </cell>
          <cell r="M146" t="str">
            <v>מיקרו צבע</v>
          </cell>
          <cell r="O146" t="str">
            <v>ממתין לאישור</v>
          </cell>
          <cell r="P146">
            <v>46364</v>
          </cell>
          <cell r="R146" t="str">
            <v>חלקים מוכנים כל ההזמנות ממתין לאישור אספקה</v>
          </cell>
        </row>
        <row r="147">
          <cell r="A147" t="str">
            <v>30P450025501-002</v>
          </cell>
          <cell r="C147">
            <v>3020</v>
          </cell>
          <cell r="D147">
            <v>3020</v>
          </cell>
          <cell r="E147">
            <v>12</v>
          </cell>
          <cell r="F147">
            <v>1</v>
          </cell>
          <cell r="G147" t="e">
            <v>#REF!</v>
          </cell>
          <cell r="I147">
            <v>46247</v>
          </cell>
          <cell r="J147">
            <v>46250</v>
          </cell>
          <cell r="K147">
            <v>46266</v>
          </cell>
          <cell r="M147">
            <v>0</v>
          </cell>
          <cell r="O147">
            <v>46269</v>
          </cell>
          <cell r="P147">
            <v>46334</v>
          </cell>
          <cell r="R147" t="e">
            <v>#N/A</v>
          </cell>
        </row>
        <row r="148">
          <cell r="A148" t="str">
            <v>30P450197500-001</v>
          </cell>
          <cell r="C148">
            <v>3020</v>
          </cell>
          <cell r="D148">
            <v>3020</v>
          </cell>
          <cell r="E148">
            <v>12</v>
          </cell>
          <cell r="I148">
            <v>46391</v>
          </cell>
          <cell r="J148">
            <v>46395</v>
          </cell>
          <cell r="K148">
            <v>46411</v>
          </cell>
          <cell r="M148">
            <v>0</v>
          </cell>
          <cell r="O148">
            <v>46414</v>
          </cell>
          <cell r="P148">
            <v>46351</v>
          </cell>
          <cell r="R148">
            <v>0</v>
          </cell>
        </row>
        <row r="149">
          <cell r="A149" t="str">
            <v>30P410030900-501</v>
          </cell>
          <cell r="B149" t="str">
            <v>ANGLE ASSEMBLY FAIRING SIDE L.H.S</v>
          </cell>
          <cell r="C149">
            <v>3020</v>
          </cell>
          <cell r="D149">
            <v>3020</v>
          </cell>
          <cell r="I149" t="str">
            <v>V</v>
          </cell>
          <cell r="J149" t="str">
            <v>V</v>
          </cell>
          <cell r="K149" t="str">
            <v>V</v>
          </cell>
          <cell r="M149">
            <v>0</v>
          </cell>
          <cell r="N149" t="str">
            <v>6-7 ימים</v>
          </cell>
          <cell r="O149">
            <v>46265</v>
          </cell>
          <cell r="P149">
            <v>46355</v>
          </cell>
          <cell r="R149" t="str">
            <v>נמצא בהרכבה ,ממתין לקשיח -HL86PB5</v>
          </cell>
        </row>
        <row r="150">
          <cell r="A150" t="str">
            <v>30P315493700-001</v>
          </cell>
          <cell r="B150" t="str">
            <v>CAP FITTING</v>
          </cell>
          <cell r="C150">
            <v>3020</v>
          </cell>
          <cell r="D150">
            <v>3020</v>
          </cell>
          <cell r="E150">
            <v>40</v>
          </cell>
          <cell r="F150">
            <v>1</v>
          </cell>
          <cell r="G150" t="e">
            <v>#REF!</v>
          </cell>
          <cell r="I150">
            <v>46195</v>
          </cell>
          <cell r="J150" t="e">
            <v>#N/A</v>
          </cell>
          <cell r="K150" t="e">
            <v>#N/A</v>
          </cell>
          <cell r="M150" t="str">
            <v>בז</v>
          </cell>
          <cell r="O150" t="str">
            <v>ממתין לאישור</v>
          </cell>
          <cell r="P150">
            <v>46391</v>
          </cell>
          <cell r="R150" t="str">
            <v>חלקים מוכנים כל ההזמנות ממתין לאישור אספקה</v>
          </cell>
        </row>
        <row r="151">
          <cell r="A151" t="str">
            <v>30P141218100-001</v>
          </cell>
          <cell r="B151" t="str">
            <v>FITTING UPPER LHS</v>
          </cell>
          <cell r="C151">
            <v>3020</v>
          </cell>
          <cell r="D151">
            <v>3020</v>
          </cell>
          <cell r="E151">
            <v>12</v>
          </cell>
          <cell r="F151">
            <v>1</v>
          </cell>
          <cell r="G151" t="e">
            <v>#REF!</v>
          </cell>
          <cell r="I151">
            <v>46405</v>
          </cell>
          <cell r="J151">
            <v>46411</v>
          </cell>
          <cell r="K151">
            <v>46427</v>
          </cell>
          <cell r="M151">
            <v>0</v>
          </cell>
          <cell r="O151">
            <v>46430</v>
          </cell>
          <cell r="P151">
            <v>46420</v>
          </cell>
          <cell r="R151">
            <v>0</v>
          </cell>
        </row>
        <row r="152">
          <cell r="A152" t="str">
            <v>30P357308600-001</v>
          </cell>
          <cell r="B152" t="str">
            <v>SLEEVE  SEAL POWER CABLE  AFT BLKD</v>
          </cell>
          <cell r="C152">
            <v>3020</v>
          </cell>
          <cell r="D152">
            <v>3020</v>
          </cell>
          <cell r="E152">
            <v>12</v>
          </cell>
          <cell r="F152">
            <v>1</v>
          </cell>
          <cell r="G152" t="e">
            <v>#REF!</v>
          </cell>
          <cell r="I152">
            <v>46313</v>
          </cell>
          <cell r="J152">
            <v>46316</v>
          </cell>
          <cell r="K152">
            <v>46332</v>
          </cell>
          <cell r="L152" t="str">
            <v>אין</v>
          </cell>
          <cell r="M152">
            <v>0</v>
          </cell>
          <cell r="N152" t="str">
            <v>אין</v>
          </cell>
          <cell r="O152">
            <v>46335</v>
          </cell>
          <cell r="P152">
            <v>46363</v>
          </cell>
          <cell r="R152">
            <v>0</v>
          </cell>
        </row>
        <row r="153">
          <cell r="A153" t="str">
            <v>30P531125300-501</v>
          </cell>
          <cell r="C153">
            <v>3020</v>
          </cell>
          <cell r="D153">
            <v>3020</v>
          </cell>
          <cell r="E153">
            <v>12</v>
          </cell>
          <cell r="F153">
            <v>1</v>
          </cell>
          <cell r="G153" t="e">
            <v>#REF!</v>
          </cell>
          <cell r="I153">
            <v>46320</v>
          </cell>
          <cell r="J153">
            <v>46325</v>
          </cell>
          <cell r="K153">
            <v>46341</v>
          </cell>
          <cell r="M153">
            <v>0</v>
          </cell>
          <cell r="O153">
            <v>46344</v>
          </cell>
          <cell r="P153">
            <v>46328</v>
          </cell>
          <cell r="R153">
            <v>0</v>
          </cell>
        </row>
        <row r="154">
          <cell r="A154" t="str">
            <v>30P420180200-001</v>
          </cell>
          <cell r="C154">
            <v>3020</v>
          </cell>
          <cell r="D154">
            <v>3020</v>
          </cell>
          <cell r="E154">
            <v>24</v>
          </cell>
          <cell r="F154">
            <v>2</v>
          </cell>
          <cell r="G154" t="e">
            <v>#REF!</v>
          </cell>
          <cell r="I154">
            <v>46375</v>
          </cell>
          <cell r="J154">
            <v>46382</v>
          </cell>
          <cell r="K154">
            <v>46398</v>
          </cell>
          <cell r="M154">
            <v>0</v>
          </cell>
          <cell r="O154">
            <v>46401</v>
          </cell>
          <cell r="P154">
            <v>46356</v>
          </cell>
          <cell r="R154">
            <v>0</v>
          </cell>
        </row>
        <row r="155">
          <cell r="A155" t="str">
            <v>30P420169101-501</v>
          </cell>
          <cell r="C155">
            <v>3020</v>
          </cell>
          <cell r="D155">
            <v>3020</v>
          </cell>
          <cell r="E155">
            <v>12</v>
          </cell>
          <cell r="F155">
            <v>1</v>
          </cell>
          <cell r="G155" t="e">
            <v>#REF!</v>
          </cell>
          <cell r="I155">
            <v>46376</v>
          </cell>
          <cell r="J155">
            <v>46384</v>
          </cell>
          <cell r="K155">
            <v>46400</v>
          </cell>
          <cell r="M155">
            <v>0</v>
          </cell>
          <cell r="N155" t="str">
            <v>3-4 ימים</v>
          </cell>
          <cell r="O155">
            <v>46403</v>
          </cell>
          <cell r="P155">
            <v>46356</v>
          </cell>
          <cell r="R155">
            <v>0</v>
          </cell>
        </row>
        <row r="156">
          <cell r="A156" t="str">
            <v>30P410022600-501</v>
          </cell>
          <cell r="B156" t="str">
            <v>FORMER 6 ASSEMBLY</v>
          </cell>
          <cell r="C156">
            <v>3020</v>
          </cell>
          <cell r="D156">
            <v>3020</v>
          </cell>
          <cell r="E156">
            <v>12</v>
          </cell>
          <cell r="F156">
            <v>1</v>
          </cell>
          <cell r="G156" t="e">
            <v>#REF!</v>
          </cell>
          <cell r="I156">
            <v>46350</v>
          </cell>
          <cell r="J156">
            <v>46355</v>
          </cell>
          <cell r="K156">
            <v>46371</v>
          </cell>
          <cell r="M156">
            <v>0</v>
          </cell>
          <cell r="N156" t="str">
            <v>3-4 ימים</v>
          </cell>
          <cell r="O156">
            <v>46374</v>
          </cell>
          <cell r="P156">
            <v>46391</v>
          </cell>
          <cell r="R156">
            <v>0</v>
          </cell>
        </row>
        <row r="157">
          <cell r="A157" t="str">
            <v>30P410115101-001</v>
          </cell>
          <cell r="B157" t="str">
            <v>RIB 0 REAR LOWER SHEAR DECK</v>
          </cell>
          <cell r="C157">
            <v>3021</v>
          </cell>
          <cell r="D157">
            <v>3021</v>
          </cell>
          <cell r="I157" t="str">
            <v>V</v>
          </cell>
          <cell r="J157" t="str">
            <v>V</v>
          </cell>
          <cell r="M157">
            <v>0</v>
          </cell>
          <cell r="O157">
            <v>46265</v>
          </cell>
          <cell r="P157">
            <v>46204</v>
          </cell>
          <cell r="R157" t="str">
            <v>נמצא בתיקון/שאלה /תשובה</v>
          </cell>
        </row>
        <row r="158">
          <cell r="A158" t="str">
            <v>4AS3134024-005</v>
          </cell>
          <cell r="B158" t="str">
            <v>COVER</v>
          </cell>
          <cell r="C158">
            <v>3021</v>
          </cell>
          <cell r="D158">
            <v>3021</v>
          </cell>
          <cell r="E158" t="str">
            <v>כל ההזמנות</v>
          </cell>
          <cell r="F158">
            <v>1</v>
          </cell>
          <cell r="G158" t="e">
            <v>#REF!</v>
          </cell>
          <cell r="I158" t="str">
            <v>V</v>
          </cell>
          <cell r="J158" t="e">
            <v>#N/A</v>
          </cell>
          <cell r="K158" t="e">
            <v>#N/A</v>
          </cell>
          <cell r="M158" t="str">
            <v>נדיב</v>
          </cell>
          <cell r="O158" t="str">
            <v>ממתין לאישור</v>
          </cell>
          <cell r="P158">
            <v>46406</v>
          </cell>
          <cell r="R158" t="str">
            <v>חלקים מוכנים כל ההזמנות ממתין לאישור אספקה</v>
          </cell>
        </row>
        <row r="159">
          <cell r="A159" t="str">
            <v>30P430212500-001</v>
          </cell>
          <cell r="B159" t="str">
            <v>BLOCK SUPPORT H/S UPPER SKIN</v>
          </cell>
          <cell r="C159">
            <v>3021</v>
          </cell>
          <cell r="D159">
            <v>3021</v>
          </cell>
          <cell r="E159" t="str">
            <v>כל ההזמנות</v>
          </cell>
          <cell r="F159">
            <v>1</v>
          </cell>
          <cell r="G159" t="e">
            <v>#REF!</v>
          </cell>
          <cell r="I159" t="str">
            <v>V</v>
          </cell>
          <cell r="J159" t="str">
            <v>V</v>
          </cell>
          <cell r="K159" t="str">
            <v>V</v>
          </cell>
          <cell r="L159" t="str">
            <v>אין</v>
          </cell>
          <cell r="M159">
            <v>0</v>
          </cell>
          <cell r="N159" t="str">
            <v>אין</v>
          </cell>
          <cell r="O159" t="str">
            <v>ממתין לאישור</v>
          </cell>
          <cell r="P159">
            <v>46420</v>
          </cell>
          <cell r="R159" t="str">
            <v>חלקים מוכנים כל ההזמנות ממתין לאישור אספקה</v>
          </cell>
        </row>
        <row r="160">
          <cell r="A160" t="str">
            <v>30P420166400-001</v>
          </cell>
          <cell r="C160">
            <v>3021</v>
          </cell>
          <cell r="D160">
            <v>3021</v>
          </cell>
          <cell r="E160">
            <v>5</v>
          </cell>
          <cell r="I160" t="str">
            <v>נספק ב2027 -כשתתנו אישור לספק</v>
          </cell>
          <cell r="J160" t="e">
            <v>#N/A</v>
          </cell>
          <cell r="K160" t="e">
            <v>#N/A</v>
          </cell>
          <cell r="M160">
            <v>0</v>
          </cell>
          <cell r="O160">
            <v>46476</v>
          </cell>
          <cell r="P160">
            <v>46575</v>
          </cell>
          <cell r="R160" t="str">
            <v>נספק ב2027 -כשתתנו אישור לספק</v>
          </cell>
        </row>
        <row r="161">
          <cell r="A161" t="str">
            <v>30P450172000-501</v>
          </cell>
          <cell r="B161" t="str">
            <v>FITTING ASSY REAR</v>
          </cell>
          <cell r="C161">
            <v>3021</v>
          </cell>
          <cell r="D161">
            <v>3021</v>
          </cell>
          <cell r="I161">
            <v>46270</v>
          </cell>
          <cell r="J161">
            <v>46278</v>
          </cell>
          <cell r="K161">
            <v>46294</v>
          </cell>
          <cell r="M161">
            <v>0</v>
          </cell>
          <cell r="O161">
            <v>46297</v>
          </cell>
          <cell r="P161">
            <v>46380</v>
          </cell>
          <cell r="R161">
            <v>0</v>
          </cell>
        </row>
        <row r="162">
          <cell r="A162" t="str">
            <v>30P141228400-001</v>
          </cell>
          <cell r="C162">
            <v>3021</v>
          </cell>
          <cell r="D162">
            <v>3021</v>
          </cell>
          <cell r="E162">
            <v>12</v>
          </cell>
          <cell r="F162">
            <v>1</v>
          </cell>
          <cell r="G162" t="e">
            <v>#REF!</v>
          </cell>
          <cell r="I162">
            <v>46382</v>
          </cell>
          <cell r="J162">
            <v>46389</v>
          </cell>
          <cell r="K162">
            <v>46405</v>
          </cell>
          <cell r="M162">
            <v>0</v>
          </cell>
          <cell r="O162">
            <v>46408</v>
          </cell>
          <cell r="P162">
            <v>46420</v>
          </cell>
          <cell r="R162">
            <v>0</v>
          </cell>
        </row>
        <row r="163">
          <cell r="A163" t="str">
            <v>30P420169501-501</v>
          </cell>
          <cell r="C163">
            <v>3021</v>
          </cell>
          <cell r="D163">
            <v>3021</v>
          </cell>
          <cell r="E163">
            <v>12</v>
          </cell>
          <cell r="F163">
            <v>1</v>
          </cell>
          <cell r="G163" t="e">
            <v>#REF!</v>
          </cell>
          <cell r="I163">
            <v>46384</v>
          </cell>
          <cell r="J163">
            <v>46392</v>
          </cell>
          <cell r="K163">
            <v>46408</v>
          </cell>
          <cell r="M163">
            <v>0</v>
          </cell>
          <cell r="N163" t="str">
            <v>3-4 ימים</v>
          </cell>
          <cell r="O163">
            <v>46411</v>
          </cell>
          <cell r="P163">
            <v>46371</v>
          </cell>
          <cell r="R163">
            <v>0</v>
          </cell>
        </row>
        <row r="164">
          <cell r="A164" t="str">
            <v>30P460168000-501</v>
          </cell>
          <cell r="C164">
            <v>3021</v>
          </cell>
          <cell r="D164">
            <v>3021</v>
          </cell>
          <cell r="E164">
            <v>12</v>
          </cell>
          <cell r="F164">
            <v>1</v>
          </cell>
          <cell r="G164" t="e">
            <v>#REF!</v>
          </cell>
          <cell r="I164">
            <v>46331</v>
          </cell>
          <cell r="J164">
            <v>46336</v>
          </cell>
          <cell r="K164">
            <v>46352</v>
          </cell>
          <cell r="M164">
            <v>0</v>
          </cell>
          <cell r="N164" t="str">
            <v>3-4 ימים</v>
          </cell>
          <cell r="O164">
            <v>46355</v>
          </cell>
          <cell r="P164">
            <v>46348</v>
          </cell>
          <cell r="R164">
            <v>0</v>
          </cell>
        </row>
        <row r="165">
          <cell r="A165" t="str">
            <v>30P450260100-001</v>
          </cell>
          <cell r="B165" t="str">
            <v>WEDGE TIP HORIZONTAL STABILIZER L.H.S</v>
          </cell>
          <cell r="C165">
            <v>3021</v>
          </cell>
          <cell r="D165">
            <v>3021</v>
          </cell>
          <cell r="E165">
            <v>12</v>
          </cell>
          <cell r="I165">
            <v>46329</v>
          </cell>
          <cell r="J165">
            <v>46336</v>
          </cell>
          <cell r="K165">
            <v>46352</v>
          </cell>
          <cell r="M165">
            <v>0</v>
          </cell>
          <cell r="O165">
            <v>46355</v>
          </cell>
          <cell r="P165">
            <v>46406</v>
          </cell>
          <cell r="R165">
            <v>0</v>
          </cell>
        </row>
        <row r="166">
          <cell r="A166" t="str">
            <v>30P581656700-001</v>
          </cell>
          <cell r="B166" t="str">
            <v>SPRING STUD</v>
          </cell>
          <cell r="C166">
            <v>3022</v>
          </cell>
          <cell r="D166">
            <v>3022</v>
          </cell>
          <cell r="E166">
            <v>38</v>
          </cell>
          <cell r="F166">
            <v>1</v>
          </cell>
          <cell r="G166" t="e">
            <v>#REF!</v>
          </cell>
          <cell r="I166">
            <v>46176</v>
          </cell>
          <cell r="J166" t="e">
            <v>#N/A</v>
          </cell>
          <cell r="K166" t="e">
            <v>#N/A</v>
          </cell>
          <cell r="M166">
            <v>0</v>
          </cell>
          <cell r="N166" t="str">
            <v>אין</v>
          </cell>
          <cell r="O166">
            <v>46245</v>
          </cell>
          <cell r="P166">
            <v>46349</v>
          </cell>
          <cell r="R166" t="str">
            <v>מוכן,ממתין למבקר</v>
          </cell>
        </row>
        <row r="167">
          <cell r="A167" t="str">
            <v>4AS9910011-001</v>
          </cell>
          <cell r="B167" t="str">
            <v>FWD JACKING POINT</v>
          </cell>
          <cell r="C167">
            <v>3022</v>
          </cell>
          <cell r="D167">
            <v>3014</v>
          </cell>
          <cell r="E167">
            <v>20</v>
          </cell>
          <cell r="F167">
            <v>1</v>
          </cell>
          <cell r="G167" t="e">
            <v>#REF!</v>
          </cell>
          <cell r="I167">
            <v>46208</v>
          </cell>
          <cell r="J167" t="e">
            <v>#N/A</v>
          </cell>
          <cell r="K167" t="e">
            <v>#N/A</v>
          </cell>
          <cell r="M167" t="str">
            <v>הלברג -מוכן לאיסוף</v>
          </cell>
          <cell r="O167" t="e">
            <v>#N/A</v>
          </cell>
          <cell r="P167">
            <v>46357</v>
          </cell>
          <cell r="R167" t="str">
            <v>סופק ב26/07</v>
          </cell>
        </row>
        <row r="168">
          <cell r="A168" t="str">
            <v>30P410030900-502</v>
          </cell>
          <cell r="B168" t="str">
            <v>ANGLE ASSEMBLY FAIRING SIDE R.H.S</v>
          </cell>
          <cell r="C168">
            <v>3022</v>
          </cell>
          <cell r="D168">
            <v>3022</v>
          </cell>
          <cell r="I168" t="str">
            <v>V</v>
          </cell>
          <cell r="J168" t="str">
            <v>V</v>
          </cell>
          <cell r="K168" t="str">
            <v>V</v>
          </cell>
          <cell r="M168">
            <v>0</v>
          </cell>
          <cell r="O168">
            <v>46265</v>
          </cell>
          <cell r="P168">
            <v>46355</v>
          </cell>
          <cell r="R168" t="str">
            <v>נמצא בהרכבה ,ממתין לקשיח -HL86PB5</v>
          </cell>
        </row>
        <row r="169">
          <cell r="A169" t="str">
            <v>30P581601000-501</v>
          </cell>
          <cell r="B169" t="str">
            <v>IDLER ARM ASSY</v>
          </cell>
          <cell r="C169">
            <v>3022</v>
          </cell>
          <cell r="D169">
            <v>3022</v>
          </cell>
          <cell r="E169">
            <v>12</v>
          </cell>
          <cell r="F169">
            <v>1</v>
          </cell>
          <cell r="G169" t="e">
            <v>#REF!</v>
          </cell>
          <cell r="I169">
            <v>46364</v>
          </cell>
          <cell r="J169">
            <v>46370</v>
          </cell>
          <cell r="K169">
            <v>46384</v>
          </cell>
          <cell r="M169">
            <v>0</v>
          </cell>
          <cell r="N169" t="str">
            <v>3-4 ימים</v>
          </cell>
          <cell r="O169">
            <v>46387</v>
          </cell>
          <cell r="P169">
            <v>46334</v>
          </cell>
          <cell r="R169">
            <v>0</v>
          </cell>
        </row>
        <row r="170">
          <cell r="A170" t="str">
            <v>30P532571300-001</v>
          </cell>
          <cell r="C170">
            <v>3022</v>
          </cell>
          <cell r="D170">
            <v>3022</v>
          </cell>
          <cell r="E170">
            <v>54</v>
          </cell>
          <cell r="F170">
            <v>1</v>
          </cell>
          <cell r="G170" t="e">
            <v>#REF!</v>
          </cell>
          <cell r="I170" t="str">
            <v>V</v>
          </cell>
          <cell r="J170">
            <v>46238</v>
          </cell>
          <cell r="K170">
            <v>46250</v>
          </cell>
          <cell r="M170" t="str">
            <v>הלברג</v>
          </cell>
          <cell r="O170">
            <v>46253</v>
          </cell>
          <cell r="P170">
            <v>46478</v>
          </cell>
          <cell r="R170">
            <v>0</v>
          </cell>
        </row>
        <row r="171">
          <cell r="A171" t="str">
            <v>30P420166501-001</v>
          </cell>
          <cell r="C171">
            <v>3022</v>
          </cell>
          <cell r="D171">
            <v>3022</v>
          </cell>
          <cell r="E171">
            <v>12</v>
          </cell>
          <cell r="I171">
            <v>46284</v>
          </cell>
          <cell r="J171">
            <v>46287</v>
          </cell>
          <cell r="K171">
            <v>46303</v>
          </cell>
          <cell r="M171">
            <v>0</v>
          </cell>
          <cell r="O171">
            <v>46306</v>
          </cell>
          <cell r="P171">
            <v>46434</v>
          </cell>
          <cell r="R171">
            <v>0</v>
          </cell>
        </row>
        <row r="172">
          <cell r="A172" t="str">
            <v>30P532526400-001</v>
          </cell>
          <cell r="C172">
            <v>3022</v>
          </cell>
          <cell r="D172">
            <v>3022</v>
          </cell>
          <cell r="E172">
            <v>12</v>
          </cell>
          <cell r="G172" t="e">
            <v>#REF!</v>
          </cell>
          <cell r="I172">
            <v>46358</v>
          </cell>
          <cell r="J172">
            <v>46363</v>
          </cell>
          <cell r="K172">
            <v>46379</v>
          </cell>
          <cell r="M172">
            <v>0</v>
          </cell>
          <cell r="O172">
            <v>46382</v>
          </cell>
          <cell r="P172">
            <v>46478</v>
          </cell>
          <cell r="R172">
            <v>0</v>
          </cell>
        </row>
        <row r="173">
          <cell r="A173" t="str">
            <v>30P357306500-501</v>
          </cell>
          <cell r="B173" t="str">
            <v>SUPPORT ASSY-FUEL SYSTEM  AFT FUSLG</v>
          </cell>
          <cell r="C173">
            <v>3022</v>
          </cell>
          <cell r="D173">
            <v>3022</v>
          </cell>
          <cell r="E173">
            <v>12</v>
          </cell>
          <cell r="F173">
            <v>1</v>
          </cell>
          <cell r="G173" t="e">
            <v>#REF!</v>
          </cell>
          <cell r="I173">
            <v>46281</v>
          </cell>
          <cell r="J173">
            <v>46287</v>
          </cell>
          <cell r="K173">
            <v>46303</v>
          </cell>
          <cell r="M173">
            <v>0</v>
          </cell>
          <cell r="O173">
            <v>46306</v>
          </cell>
          <cell r="P173">
            <v>46183</v>
          </cell>
          <cell r="R173">
            <v>0</v>
          </cell>
        </row>
        <row r="174">
          <cell r="A174" t="str">
            <v>30P533121000-501</v>
          </cell>
          <cell r="C174">
            <v>3023</v>
          </cell>
          <cell r="D174">
            <v>3022</v>
          </cell>
          <cell r="E174">
            <v>12</v>
          </cell>
          <cell r="F174">
            <v>1</v>
          </cell>
          <cell r="G174" t="e">
            <v>#REF!</v>
          </cell>
          <cell r="I174">
            <v>46415</v>
          </cell>
          <cell r="J174">
            <v>46421</v>
          </cell>
          <cell r="K174">
            <v>46437</v>
          </cell>
          <cell r="M174">
            <v>0</v>
          </cell>
          <cell r="O174">
            <v>46440</v>
          </cell>
          <cell r="P174">
            <v>46406</v>
          </cell>
          <cell r="R174" t="e">
            <v>#N/A</v>
          </cell>
        </row>
        <row r="175">
          <cell r="A175" t="str">
            <v>30P533121000-502</v>
          </cell>
          <cell r="C175">
            <v>3023</v>
          </cell>
          <cell r="D175">
            <v>3023</v>
          </cell>
          <cell r="E175">
            <v>12</v>
          </cell>
          <cell r="F175">
            <v>1</v>
          </cell>
          <cell r="G175" t="e">
            <v>#REF!</v>
          </cell>
          <cell r="I175">
            <v>46421</v>
          </cell>
          <cell r="J175">
            <v>46427</v>
          </cell>
          <cell r="K175">
            <v>46443</v>
          </cell>
          <cell r="M175">
            <v>0</v>
          </cell>
          <cell r="O175">
            <v>46446</v>
          </cell>
          <cell r="P175">
            <v>46406</v>
          </cell>
          <cell r="R175" t="e">
            <v>#N/A</v>
          </cell>
        </row>
        <row r="176">
          <cell r="A176" t="str">
            <v>30P357206700-001</v>
          </cell>
          <cell r="C176">
            <v>3023</v>
          </cell>
          <cell r="D176">
            <v>3023</v>
          </cell>
          <cell r="E176" t="str">
            <v>כל ההזמנות</v>
          </cell>
          <cell r="F176">
            <v>4</v>
          </cell>
          <cell r="G176" t="e">
            <v>#REF!</v>
          </cell>
          <cell r="I176" t="str">
            <v>V</v>
          </cell>
          <cell r="J176" t="e">
            <v>#N/A</v>
          </cell>
          <cell r="K176" t="e">
            <v>#N/A</v>
          </cell>
          <cell r="M176" t="str">
            <v>הלברג</v>
          </cell>
          <cell r="O176" t="str">
            <v>ממתין לאישור</v>
          </cell>
          <cell r="P176">
            <v>46406</v>
          </cell>
          <cell r="R176" t="str">
            <v>חלקים מוכנים כל ההזמנות ממתין לאישור אספקה</v>
          </cell>
        </row>
        <row r="177">
          <cell r="A177" t="str">
            <v>30P450155000-501</v>
          </cell>
          <cell r="B177" t="str">
            <v>INTERCOSTAL RIB 2-3 ASSEMBLY L.H.S</v>
          </cell>
          <cell r="C177">
            <v>3023</v>
          </cell>
          <cell r="D177">
            <v>3023</v>
          </cell>
          <cell r="I177">
            <v>46264</v>
          </cell>
          <cell r="J177">
            <v>46276</v>
          </cell>
          <cell r="K177">
            <v>46292</v>
          </cell>
          <cell r="M177">
            <v>0</v>
          </cell>
          <cell r="O177">
            <v>46295</v>
          </cell>
          <cell r="P177">
            <v>46322</v>
          </cell>
          <cell r="R177">
            <v>0</v>
          </cell>
        </row>
        <row r="178">
          <cell r="A178" t="str">
            <v>30P410192102-001</v>
          </cell>
          <cell r="B178" t="str">
            <v>BUSHING</v>
          </cell>
          <cell r="C178">
            <v>3023</v>
          </cell>
          <cell r="D178">
            <v>3023</v>
          </cell>
          <cell r="E178">
            <v>39</v>
          </cell>
          <cell r="F178">
            <v>1</v>
          </cell>
          <cell r="G178" t="e">
            <v>#REF!</v>
          </cell>
          <cell r="I178" t="str">
            <v>V</v>
          </cell>
          <cell r="J178" t="e">
            <v>#N/A</v>
          </cell>
          <cell r="K178" t="e">
            <v>#N/A</v>
          </cell>
          <cell r="M178" t="str">
            <v>חלקים חזרו עם תלונת לקוח חספק תהליכים .ממתינים לתגובת הספק באשמת מי הבעיה ומה המשך טיפול</v>
          </cell>
          <cell r="N178" t="str">
            <v>אין</v>
          </cell>
          <cell r="O178" t="str">
            <v>בבדיקה</v>
          </cell>
          <cell r="P178">
            <v>46282</v>
          </cell>
          <cell r="R178" t="str">
            <v>נמצא בתיקון ציפוי וסימון</v>
          </cell>
        </row>
        <row r="179">
          <cell r="A179" t="str">
            <v>30P313111700-001</v>
          </cell>
          <cell r="C179">
            <v>3023</v>
          </cell>
          <cell r="D179">
            <v>3023</v>
          </cell>
          <cell r="E179">
            <v>12</v>
          </cell>
          <cell r="F179">
            <v>1</v>
          </cell>
          <cell r="G179" t="e">
            <v>#REF!</v>
          </cell>
          <cell r="I179">
            <v>46281</v>
          </cell>
          <cell r="J179">
            <v>46288</v>
          </cell>
          <cell r="K179">
            <v>46304</v>
          </cell>
          <cell r="M179">
            <v>0</v>
          </cell>
          <cell r="O179">
            <v>46307</v>
          </cell>
          <cell r="P179">
            <v>46420</v>
          </cell>
          <cell r="R179">
            <v>0</v>
          </cell>
        </row>
        <row r="180">
          <cell r="A180" t="str">
            <v>30P410022300-501</v>
          </cell>
          <cell r="C180">
            <v>3023</v>
          </cell>
          <cell r="D180">
            <v>3023</v>
          </cell>
          <cell r="E180">
            <v>108</v>
          </cell>
          <cell r="F180">
            <v>8</v>
          </cell>
          <cell r="G180" t="e">
            <v>#REF!</v>
          </cell>
          <cell r="I180">
            <v>46343</v>
          </cell>
          <cell r="J180">
            <v>46350</v>
          </cell>
          <cell r="K180">
            <v>46366</v>
          </cell>
          <cell r="M180">
            <v>0</v>
          </cell>
          <cell r="O180">
            <v>46369</v>
          </cell>
          <cell r="P180">
            <v>46363</v>
          </cell>
          <cell r="R180">
            <v>0</v>
          </cell>
        </row>
        <row r="181">
          <cell r="A181" t="str">
            <v>30P310011100-001</v>
          </cell>
          <cell r="C181">
            <v>3023</v>
          </cell>
          <cell r="D181">
            <v>3023</v>
          </cell>
          <cell r="E181">
            <v>12</v>
          </cell>
          <cell r="F181">
            <v>1</v>
          </cell>
          <cell r="G181" t="e">
            <v>#REF!</v>
          </cell>
          <cell r="I181">
            <v>46343</v>
          </cell>
          <cell r="J181">
            <v>46347</v>
          </cell>
          <cell r="K181">
            <v>46363</v>
          </cell>
          <cell r="M181">
            <v>0</v>
          </cell>
          <cell r="O181">
            <v>46366</v>
          </cell>
          <cell r="P181">
            <v>46336</v>
          </cell>
          <cell r="R181">
            <v>0</v>
          </cell>
        </row>
        <row r="182">
          <cell r="A182" t="str">
            <v>30P310037300-001</v>
          </cell>
          <cell r="C182">
            <v>3023</v>
          </cell>
          <cell r="D182">
            <v>3023</v>
          </cell>
          <cell r="E182">
            <v>12</v>
          </cell>
          <cell r="F182">
            <v>1</v>
          </cell>
          <cell r="G182" t="e">
            <v>#REF!</v>
          </cell>
          <cell r="I182">
            <v>46331</v>
          </cell>
          <cell r="J182">
            <v>46336</v>
          </cell>
          <cell r="K182">
            <v>46352</v>
          </cell>
          <cell r="M182">
            <v>0</v>
          </cell>
          <cell r="O182">
            <v>46355</v>
          </cell>
          <cell r="P182">
            <v>46420</v>
          </cell>
          <cell r="R182">
            <v>0</v>
          </cell>
        </row>
        <row r="183">
          <cell r="A183" t="str">
            <v>30P410185300-502</v>
          </cell>
          <cell r="C183">
            <v>3023</v>
          </cell>
          <cell r="D183">
            <v>3023</v>
          </cell>
          <cell r="E183">
            <v>20</v>
          </cell>
          <cell r="I183">
            <v>46318</v>
          </cell>
          <cell r="J183">
            <v>46324</v>
          </cell>
          <cell r="K183">
            <v>46340</v>
          </cell>
          <cell r="M183">
            <v>0</v>
          </cell>
          <cell r="O183">
            <v>46343</v>
          </cell>
          <cell r="P183">
            <v>46338</v>
          </cell>
          <cell r="R183">
            <v>0</v>
          </cell>
        </row>
        <row r="184">
          <cell r="A184" t="str">
            <v>30P450161300-001</v>
          </cell>
          <cell r="B184" t="str">
            <v>SPLICE REAR SPAR ATTACH L.H.S</v>
          </cell>
          <cell r="C184">
            <v>3023</v>
          </cell>
          <cell r="D184">
            <v>3023</v>
          </cell>
          <cell r="E184">
            <v>12</v>
          </cell>
          <cell r="F184">
            <v>1</v>
          </cell>
          <cell r="G184" t="e">
            <v>#REF!</v>
          </cell>
          <cell r="I184">
            <v>46253</v>
          </cell>
          <cell r="J184">
            <v>46257</v>
          </cell>
          <cell r="K184">
            <v>46273</v>
          </cell>
          <cell r="M184">
            <v>0</v>
          </cell>
          <cell r="O184">
            <v>46276</v>
          </cell>
          <cell r="P184">
            <v>46434</v>
          </cell>
          <cell r="R184">
            <v>0</v>
          </cell>
        </row>
        <row r="185">
          <cell r="A185" t="str">
            <v>30P450025401-002</v>
          </cell>
          <cell r="C185">
            <v>3023</v>
          </cell>
          <cell r="D185">
            <v>3023</v>
          </cell>
          <cell r="E185">
            <v>12</v>
          </cell>
          <cell r="F185">
            <v>1</v>
          </cell>
          <cell r="G185" t="e">
            <v>#REF!</v>
          </cell>
          <cell r="I185">
            <v>46252</v>
          </cell>
          <cell r="J185">
            <v>46253</v>
          </cell>
          <cell r="K185">
            <v>46269</v>
          </cell>
          <cell r="M185">
            <v>0</v>
          </cell>
          <cell r="O185">
            <v>46272</v>
          </cell>
          <cell r="P185">
            <v>46406</v>
          </cell>
          <cell r="R185">
            <v>0</v>
          </cell>
        </row>
        <row r="186">
          <cell r="A186" t="str">
            <v>30P647002200-001</v>
          </cell>
          <cell r="C186">
            <v>3024</v>
          </cell>
          <cell r="D186">
            <v>3024</v>
          </cell>
          <cell r="E186">
            <v>26</v>
          </cell>
          <cell r="I186" t="str">
            <v>V</v>
          </cell>
          <cell r="J186" t="e">
            <v>#N/A</v>
          </cell>
          <cell r="K186" t="e">
            <v>#N/A</v>
          </cell>
          <cell r="M186" t="str">
            <v>גבי שואף</v>
          </cell>
          <cell r="O186" t="str">
            <v>ממתין לאישור</v>
          </cell>
          <cell r="P186">
            <v>46448</v>
          </cell>
          <cell r="R186" t="str">
            <v>מוכן -8 יח מוכן -מספקים 04/08</v>
          </cell>
        </row>
        <row r="187">
          <cell r="A187" t="str">
            <v>30P647002200-002</v>
          </cell>
          <cell r="C187">
            <v>3024</v>
          </cell>
          <cell r="D187">
            <v>3024</v>
          </cell>
          <cell r="E187">
            <v>24</v>
          </cell>
          <cell r="I187" t="str">
            <v>V</v>
          </cell>
          <cell r="J187" t="e">
            <v>#N/A</v>
          </cell>
          <cell r="K187" t="e">
            <v>#N/A</v>
          </cell>
          <cell r="M187" t="str">
            <v>גבי שואף</v>
          </cell>
          <cell r="O187" t="str">
            <v>ממתין לאישור</v>
          </cell>
          <cell r="P187">
            <v>46448</v>
          </cell>
          <cell r="R187" t="str">
            <v>מוכן -8 יח מוכן -מספקים 04/08</v>
          </cell>
        </row>
        <row r="188">
          <cell r="A188" t="str">
            <v>30P357308800-001</v>
          </cell>
          <cell r="B188" t="str">
            <v>RING  SEAL POWER CABLE  AFT BLKD</v>
          </cell>
          <cell r="C188">
            <v>3024</v>
          </cell>
          <cell r="D188">
            <v>3024</v>
          </cell>
          <cell r="E188">
            <v>144</v>
          </cell>
          <cell r="I188" t="str">
            <v>V</v>
          </cell>
          <cell r="J188" t="str">
            <v>V</v>
          </cell>
          <cell r="M188">
            <v>0</v>
          </cell>
          <cell r="O188" t="str">
            <v>ממתין לאישור</v>
          </cell>
          <cell r="R188" t="str">
            <v>חלקים מוכנים כל ההזמנות ממתין לאישור אספקה</v>
          </cell>
        </row>
        <row r="189">
          <cell r="A189" t="str">
            <v>30P357308800-001</v>
          </cell>
          <cell r="B189" t="str">
            <v>RING  SEAL POWER CABLE  AFT BLKD</v>
          </cell>
          <cell r="C189">
            <v>3024</v>
          </cell>
          <cell r="D189">
            <v>3024</v>
          </cell>
          <cell r="E189" t="str">
            <v>כל ההזמנות</v>
          </cell>
          <cell r="F189">
            <v>1</v>
          </cell>
          <cell r="G189" t="e">
            <v>#REF!</v>
          </cell>
          <cell r="I189" t="str">
            <v>V</v>
          </cell>
          <cell r="J189" t="str">
            <v>V</v>
          </cell>
          <cell r="M189">
            <v>0</v>
          </cell>
          <cell r="N189" t="str">
            <v>אין</v>
          </cell>
          <cell r="O189" t="str">
            <v>ממתין לאישור</v>
          </cell>
          <cell r="P189">
            <v>46420</v>
          </cell>
          <cell r="R189" t="str">
            <v>חלקים מוכנים כל ההזמנות ממתין לאישור אספקה</v>
          </cell>
        </row>
        <row r="190">
          <cell r="A190" t="str">
            <v>30P450025601-002</v>
          </cell>
          <cell r="C190">
            <v>3024</v>
          </cell>
          <cell r="D190">
            <v>3024</v>
          </cell>
          <cell r="E190">
            <v>12</v>
          </cell>
          <cell r="F190">
            <v>1</v>
          </cell>
          <cell r="G190" t="e">
            <v>#REF!</v>
          </cell>
          <cell r="I190">
            <v>46246</v>
          </cell>
          <cell r="J190">
            <v>46247</v>
          </cell>
          <cell r="K190">
            <v>46263</v>
          </cell>
          <cell r="M190">
            <v>0</v>
          </cell>
          <cell r="O190">
            <v>46266</v>
          </cell>
          <cell r="P190">
            <v>46349</v>
          </cell>
          <cell r="R190">
            <v>0</v>
          </cell>
        </row>
        <row r="191">
          <cell r="A191" t="str">
            <v>30P315494800-002</v>
          </cell>
          <cell r="C191">
            <v>3024</v>
          </cell>
          <cell r="D191">
            <v>3024</v>
          </cell>
          <cell r="E191">
            <v>12</v>
          </cell>
          <cell r="F191">
            <v>1</v>
          </cell>
          <cell r="G191" t="e">
            <v>#REF!</v>
          </cell>
          <cell r="I191">
            <v>46328</v>
          </cell>
          <cell r="J191">
            <v>46333</v>
          </cell>
          <cell r="K191">
            <v>46349</v>
          </cell>
          <cell r="M191">
            <v>0</v>
          </cell>
          <cell r="O191">
            <v>46352</v>
          </cell>
          <cell r="P191">
            <v>46434</v>
          </cell>
          <cell r="R191">
            <v>0</v>
          </cell>
        </row>
        <row r="192">
          <cell r="A192" t="str">
            <v>30P310037200-001</v>
          </cell>
          <cell r="C192">
            <v>3024</v>
          </cell>
          <cell r="D192">
            <v>3024</v>
          </cell>
          <cell r="E192">
            <v>12</v>
          </cell>
          <cell r="F192">
            <v>1</v>
          </cell>
          <cell r="G192" t="e">
            <v>#REF!</v>
          </cell>
          <cell r="I192">
            <v>46325</v>
          </cell>
          <cell r="J192">
            <v>46331</v>
          </cell>
          <cell r="K192">
            <v>46347</v>
          </cell>
          <cell r="M192">
            <v>0</v>
          </cell>
          <cell r="O192">
            <v>46350</v>
          </cell>
          <cell r="P192">
            <v>46434</v>
          </cell>
          <cell r="R192">
            <v>0</v>
          </cell>
        </row>
        <row r="193">
          <cell r="A193" t="str">
            <v>30P450044400-002</v>
          </cell>
          <cell r="C193">
            <v>3024</v>
          </cell>
          <cell r="D193">
            <v>3024</v>
          </cell>
          <cell r="E193">
            <v>12</v>
          </cell>
          <cell r="F193">
            <v>1</v>
          </cell>
          <cell r="G193" t="e">
            <v>#REF!</v>
          </cell>
          <cell r="I193">
            <v>46341</v>
          </cell>
          <cell r="J193">
            <v>46346</v>
          </cell>
          <cell r="K193">
            <v>46362</v>
          </cell>
          <cell r="M193">
            <v>0</v>
          </cell>
          <cell r="O193">
            <v>46365</v>
          </cell>
          <cell r="P193">
            <v>46377</v>
          </cell>
          <cell r="R193">
            <v>0</v>
          </cell>
        </row>
        <row r="194">
          <cell r="A194" t="str">
            <v>30P357307000-501</v>
          </cell>
          <cell r="C194">
            <v>3024</v>
          </cell>
          <cell r="D194">
            <v>3024</v>
          </cell>
          <cell r="E194">
            <v>12</v>
          </cell>
          <cell r="F194">
            <v>1</v>
          </cell>
          <cell r="G194" t="e">
            <v>#REF!</v>
          </cell>
          <cell r="I194" t="str">
            <v xml:space="preserve"> ממתין להצעת מחיר מבז</v>
          </cell>
          <cell r="M194">
            <v>0</v>
          </cell>
          <cell r="O194">
            <v>3</v>
          </cell>
          <cell r="P194">
            <v>46420</v>
          </cell>
          <cell r="R194" t="str">
            <v>חלק בזיווד - ממתין להצעת מחיר מבז</v>
          </cell>
        </row>
        <row r="195">
          <cell r="A195" t="str">
            <v>30P357206200-001</v>
          </cell>
          <cell r="C195">
            <v>3024</v>
          </cell>
          <cell r="D195">
            <v>3024</v>
          </cell>
          <cell r="E195">
            <v>12</v>
          </cell>
          <cell r="F195">
            <v>1</v>
          </cell>
          <cell r="G195" t="e">
            <v>#REF!</v>
          </cell>
          <cell r="I195">
            <v>46280</v>
          </cell>
          <cell r="J195">
            <v>46286</v>
          </cell>
          <cell r="K195">
            <v>46302</v>
          </cell>
          <cell r="M195">
            <v>0</v>
          </cell>
          <cell r="O195">
            <v>46305</v>
          </cell>
          <cell r="P195">
            <v>46420</v>
          </cell>
          <cell r="R195">
            <v>0</v>
          </cell>
        </row>
        <row r="196">
          <cell r="A196" t="str">
            <v>30P531147000-501</v>
          </cell>
          <cell r="C196">
            <v>3024</v>
          </cell>
          <cell r="D196">
            <v>3024</v>
          </cell>
          <cell r="E196">
            <v>12</v>
          </cell>
          <cell r="F196">
            <v>1</v>
          </cell>
          <cell r="G196" t="e">
            <v>#REF!</v>
          </cell>
          <cell r="I196">
            <v>46430</v>
          </cell>
          <cell r="J196">
            <v>46436</v>
          </cell>
          <cell r="K196">
            <v>46452</v>
          </cell>
          <cell r="M196">
            <v>0</v>
          </cell>
          <cell r="O196">
            <v>46455</v>
          </cell>
          <cell r="P196">
            <v>46420</v>
          </cell>
          <cell r="R196">
            <v>0</v>
          </cell>
        </row>
        <row r="197">
          <cell r="A197" t="str">
            <v>30P647003200-001</v>
          </cell>
          <cell r="C197">
            <v>3024</v>
          </cell>
          <cell r="D197">
            <v>3024</v>
          </cell>
          <cell r="E197">
            <v>15</v>
          </cell>
          <cell r="F197">
            <v>1</v>
          </cell>
          <cell r="G197" t="e">
            <v>#REF!</v>
          </cell>
          <cell r="I197" t="str">
            <v>V</v>
          </cell>
          <cell r="J197" t="e">
            <v>#N/A</v>
          </cell>
          <cell r="K197" t="e">
            <v>#N/A</v>
          </cell>
          <cell r="M197" t="str">
            <v>גבי שואף</v>
          </cell>
          <cell r="O197" t="str">
            <v>ממתין לאישור</v>
          </cell>
          <cell r="P197">
            <v>46420</v>
          </cell>
          <cell r="R197" t="str">
            <v>עבר FAI חלקים מוכנים ממתינים לאישור אספקה</v>
          </cell>
        </row>
        <row r="198">
          <cell r="A198" t="str">
            <v>30P647003300-001</v>
          </cell>
          <cell r="C198">
            <v>3024</v>
          </cell>
          <cell r="D198">
            <v>3024</v>
          </cell>
          <cell r="E198">
            <v>24</v>
          </cell>
          <cell r="F198">
            <v>1</v>
          </cell>
          <cell r="G198" t="e">
            <v>#REF!</v>
          </cell>
          <cell r="I198" t="str">
            <v>V</v>
          </cell>
          <cell r="J198" t="e">
            <v>#N/A</v>
          </cell>
          <cell r="K198" t="e">
            <v>#N/A</v>
          </cell>
          <cell r="M198" t="str">
            <v>גבי שואף</v>
          </cell>
          <cell r="O198" t="str">
            <v>ממתין לאישור</v>
          </cell>
          <cell r="P198">
            <v>46113</v>
          </cell>
          <cell r="R198" t="str">
            <v>עבר FAI חלקים מוכנים ממתינים לאישור אספקה</v>
          </cell>
        </row>
        <row r="199">
          <cell r="A199" t="str">
            <v>30P647003300-002</v>
          </cell>
          <cell r="C199">
            <v>3024</v>
          </cell>
          <cell r="D199">
            <v>3024</v>
          </cell>
          <cell r="E199">
            <v>20</v>
          </cell>
          <cell r="F199">
            <v>1</v>
          </cell>
          <cell r="G199" t="e">
            <v>#REF!</v>
          </cell>
          <cell r="I199" t="str">
            <v>V</v>
          </cell>
          <cell r="J199" t="e">
            <v>#N/A</v>
          </cell>
          <cell r="K199" t="e">
            <v>#N/A</v>
          </cell>
          <cell r="M199" t="str">
            <v>גבי שואף</v>
          </cell>
          <cell r="O199" t="str">
            <v>ממתין לאישור</v>
          </cell>
          <cell r="P199">
            <v>46420</v>
          </cell>
          <cell r="R199" t="str">
            <v>עבר FAI חלקים מוכנים ממתינים לאישור אספקה</v>
          </cell>
        </row>
        <row r="200">
          <cell r="A200" t="str">
            <v>30P357206300-501</v>
          </cell>
          <cell r="C200">
            <v>3024</v>
          </cell>
          <cell r="D200">
            <v>3024</v>
          </cell>
          <cell r="E200">
            <v>12</v>
          </cell>
          <cell r="F200">
            <v>1</v>
          </cell>
          <cell r="G200" t="e">
            <v>#REF!</v>
          </cell>
          <cell r="I200">
            <v>46219</v>
          </cell>
          <cell r="J200">
            <v>46267</v>
          </cell>
          <cell r="K200">
            <v>46283</v>
          </cell>
          <cell r="M200">
            <v>0</v>
          </cell>
          <cell r="O200">
            <v>46286</v>
          </cell>
          <cell r="P200">
            <v>46420</v>
          </cell>
          <cell r="R200">
            <v>0</v>
          </cell>
        </row>
        <row r="201">
          <cell r="A201" t="str">
            <v>30P647004101-001</v>
          </cell>
          <cell r="C201">
            <v>3024</v>
          </cell>
          <cell r="D201">
            <v>3024</v>
          </cell>
          <cell r="E201">
            <v>12</v>
          </cell>
          <cell r="F201">
            <v>1</v>
          </cell>
          <cell r="G201" t="e">
            <v>#REF!</v>
          </cell>
          <cell r="I201">
            <v>46230</v>
          </cell>
          <cell r="J201">
            <v>46248</v>
          </cell>
          <cell r="K201">
            <v>46264</v>
          </cell>
          <cell r="M201">
            <v>0</v>
          </cell>
          <cell r="O201">
            <v>46267</v>
          </cell>
          <cell r="P201">
            <v>46420</v>
          </cell>
          <cell r="R201">
            <v>0</v>
          </cell>
        </row>
        <row r="202">
          <cell r="A202" t="str">
            <v>4AS5310148-501</v>
          </cell>
          <cell r="C202">
            <v>3024</v>
          </cell>
          <cell r="D202">
            <v>3024</v>
          </cell>
          <cell r="E202">
            <v>12</v>
          </cell>
          <cell r="F202">
            <v>1</v>
          </cell>
          <cell r="G202" t="e">
            <v>#REF!</v>
          </cell>
          <cell r="I202">
            <v>46403</v>
          </cell>
          <cell r="J202">
            <v>46409</v>
          </cell>
          <cell r="K202">
            <v>46425</v>
          </cell>
          <cell r="M202">
            <v>0</v>
          </cell>
          <cell r="O202">
            <v>46428</v>
          </cell>
          <cell r="P202">
            <v>46420</v>
          </cell>
          <cell r="R202">
            <v>0</v>
          </cell>
        </row>
        <row r="203">
          <cell r="A203" t="str">
            <v>4AS5310138-501</v>
          </cell>
          <cell r="C203">
            <v>3024</v>
          </cell>
          <cell r="D203">
            <v>3024</v>
          </cell>
          <cell r="E203">
            <v>12</v>
          </cell>
          <cell r="F203">
            <v>1</v>
          </cell>
          <cell r="G203" t="e">
            <v>#REF!</v>
          </cell>
          <cell r="I203">
            <v>46409</v>
          </cell>
          <cell r="J203">
            <v>46415</v>
          </cell>
          <cell r="K203">
            <v>46431</v>
          </cell>
          <cell r="M203">
            <v>0</v>
          </cell>
          <cell r="O203">
            <v>46434</v>
          </cell>
          <cell r="P203">
            <v>46420</v>
          </cell>
          <cell r="R203">
            <v>0</v>
          </cell>
        </row>
        <row r="204">
          <cell r="A204" t="str">
            <v>30P310037700-001</v>
          </cell>
          <cell r="C204">
            <v>3024</v>
          </cell>
          <cell r="D204">
            <v>3024</v>
          </cell>
          <cell r="E204">
            <v>12</v>
          </cell>
          <cell r="I204">
            <v>46398</v>
          </cell>
          <cell r="J204">
            <v>46404</v>
          </cell>
          <cell r="K204">
            <v>46420</v>
          </cell>
          <cell r="M204">
            <v>0</v>
          </cell>
          <cell r="O204">
            <v>46423</v>
          </cell>
          <cell r="P204">
            <v>46434</v>
          </cell>
          <cell r="R204">
            <v>0</v>
          </cell>
        </row>
        <row r="205">
          <cell r="A205" t="str">
            <v>30P310037700-002</v>
          </cell>
          <cell r="C205">
            <v>3024</v>
          </cell>
          <cell r="D205">
            <v>3024</v>
          </cell>
          <cell r="E205">
            <v>12</v>
          </cell>
          <cell r="I205">
            <v>46392</v>
          </cell>
          <cell r="J205">
            <v>46398</v>
          </cell>
          <cell r="K205">
            <v>46414</v>
          </cell>
          <cell r="M205">
            <v>0</v>
          </cell>
          <cell r="O205">
            <v>46417</v>
          </cell>
          <cell r="P205">
            <v>46434</v>
          </cell>
          <cell r="R205">
            <v>0</v>
          </cell>
        </row>
        <row r="206">
          <cell r="A206" t="str">
            <v>30P315477700-001</v>
          </cell>
          <cell r="C206">
            <v>3024</v>
          </cell>
          <cell r="D206">
            <v>3024</v>
          </cell>
          <cell r="E206">
            <v>50</v>
          </cell>
          <cell r="I206" t="str">
            <v>V</v>
          </cell>
          <cell r="J206">
            <v>46237</v>
          </cell>
          <cell r="K206">
            <v>46253</v>
          </cell>
          <cell r="M206" t="str">
            <v>אביג</v>
          </cell>
          <cell r="O206">
            <v>46256</v>
          </cell>
          <cell r="P206">
            <v>46434</v>
          </cell>
          <cell r="R206">
            <v>0</v>
          </cell>
        </row>
        <row r="207">
          <cell r="A207" t="str">
            <v>30P313140300-001</v>
          </cell>
          <cell r="C207">
            <v>3024</v>
          </cell>
          <cell r="D207">
            <v>3024</v>
          </cell>
          <cell r="E207">
            <v>12</v>
          </cell>
          <cell r="I207">
            <v>46427</v>
          </cell>
          <cell r="J207">
            <v>46432</v>
          </cell>
          <cell r="K207">
            <v>46448</v>
          </cell>
          <cell r="M207">
            <v>0</v>
          </cell>
          <cell r="O207">
            <v>46451</v>
          </cell>
          <cell r="P207">
            <v>46434</v>
          </cell>
          <cell r="R207">
            <v>0</v>
          </cell>
        </row>
        <row r="208">
          <cell r="A208" t="str">
            <v>30P355140500-001</v>
          </cell>
          <cell r="C208">
            <v>3024</v>
          </cell>
          <cell r="D208">
            <v>3024</v>
          </cell>
          <cell r="E208">
            <v>12</v>
          </cell>
          <cell r="I208">
            <v>46298</v>
          </cell>
          <cell r="J208">
            <v>46303</v>
          </cell>
          <cell r="K208">
            <v>46319</v>
          </cell>
          <cell r="M208">
            <v>0</v>
          </cell>
          <cell r="O208">
            <v>46322</v>
          </cell>
          <cell r="P208">
            <v>46448</v>
          </cell>
          <cell r="R208">
            <v>0</v>
          </cell>
        </row>
        <row r="209">
          <cell r="A209" t="str">
            <v>30P355140600-001</v>
          </cell>
          <cell r="C209">
            <v>3024</v>
          </cell>
          <cell r="D209">
            <v>3024</v>
          </cell>
          <cell r="E209">
            <v>12</v>
          </cell>
          <cell r="I209">
            <v>46420</v>
          </cell>
          <cell r="J209">
            <v>46426</v>
          </cell>
          <cell r="K209">
            <v>46442</v>
          </cell>
          <cell r="M209">
            <v>0</v>
          </cell>
          <cell r="O209">
            <v>46445</v>
          </cell>
          <cell r="P209">
            <v>46448</v>
          </cell>
          <cell r="R209">
            <v>0</v>
          </cell>
        </row>
        <row r="210">
          <cell r="A210" t="str">
            <v>30P782531500-001</v>
          </cell>
          <cell r="C210">
            <v>3024</v>
          </cell>
          <cell r="D210">
            <v>3024</v>
          </cell>
          <cell r="E210">
            <v>12</v>
          </cell>
          <cell r="I210">
            <v>46270</v>
          </cell>
          <cell r="J210">
            <v>46275</v>
          </cell>
          <cell r="K210">
            <v>46291</v>
          </cell>
          <cell r="M210">
            <v>0</v>
          </cell>
          <cell r="O210">
            <v>46294</v>
          </cell>
          <cell r="P210">
            <v>46448</v>
          </cell>
          <cell r="R210">
            <v>0</v>
          </cell>
        </row>
        <row r="211">
          <cell r="A211" t="str">
            <v>30P410022600-502</v>
          </cell>
          <cell r="C211">
            <v>3024</v>
          </cell>
          <cell r="D211">
            <v>3024</v>
          </cell>
          <cell r="E211">
            <v>12</v>
          </cell>
          <cell r="I211">
            <v>46355</v>
          </cell>
          <cell r="J211">
            <v>46360</v>
          </cell>
          <cell r="K211">
            <v>46376</v>
          </cell>
          <cell r="M211">
            <v>0</v>
          </cell>
          <cell r="O211">
            <v>46379</v>
          </cell>
          <cell r="P211">
            <v>46420</v>
          </cell>
          <cell r="R211">
            <v>0</v>
          </cell>
        </row>
        <row r="212">
          <cell r="A212" t="str">
            <v>30P331074500-001</v>
          </cell>
          <cell r="C212">
            <v>3024</v>
          </cell>
          <cell r="D212">
            <v>3024</v>
          </cell>
          <cell r="E212">
            <v>12</v>
          </cell>
          <cell r="F212">
            <v>1</v>
          </cell>
          <cell r="G212" t="e">
            <v>#REF!</v>
          </cell>
          <cell r="I212">
            <v>46264</v>
          </cell>
          <cell r="J212">
            <v>46270</v>
          </cell>
          <cell r="K212">
            <v>46286</v>
          </cell>
          <cell r="M212">
            <v>0</v>
          </cell>
          <cell r="O212">
            <v>46289</v>
          </cell>
          <cell r="P212">
            <v>46525</v>
          </cell>
          <cell r="R212">
            <v>0</v>
          </cell>
        </row>
        <row r="213">
          <cell r="A213" t="str">
            <v>30P430113400-501</v>
          </cell>
          <cell r="C213">
            <v>3024</v>
          </cell>
          <cell r="D213">
            <v>3024</v>
          </cell>
          <cell r="E213">
            <v>12</v>
          </cell>
          <cell r="I213">
            <v>46352</v>
          </cell>
          <cell r="J213">
            <v>46355</v>
          </cell>
          <cell r="K213">
            <v>46371</v>
          </cell>
          <cell r="M213">
            <v>0</v>
          </cell>
          <cell r="O213">
            <v>46374</v>
          </cell>
          <cell r="P213">
            <v>46434</v>
          </cell>
          <cell r="R213">
            <v>0</v>
          </cell>
        </row>
        <row r="214">
          <cell r="A214" t="str">
            <v>4AS6900001-001</v>
          </cell>
          <cell r="C214">
            <v>3025</v>
          </cell>
          <cell r="D214">
            <v>3025</v>
          </cell>
          <cell r="E214">
            <v>12</v>
          </cell>
          <cell r="I214">
            <v>46403</v>
          </cell>
          <cell r="J214">
            <v>46408</v>
          </cell>
          <cell r="K214">
            <v>46424</v>
          </cell>
          <cell r="M214">
            <v>0</v>
          </cell>
          <cell r="O214">
            <v>46427</v>
          </cell>
          <cell r="P214">
            <v>46462</v>
          </cell>
          <cell r="R214">
            <v>0</v>
          </cell>
        </row>
        <row r="215">
          <cell r="A215" t="str">
            <v>4AS2830012-001</v>
          </cell>
          <cell r="C215">
            <v>3025</v>
          </cell>
          <cell r="D215">
            <v>3025</v>
          </cell>
          <cell r="E215" t="str">
            <v>כל ההזמנות</v>
          </cell>
          <cell r="F215">
            <v>1</v>
          </cell>
          <cell r="G215" t="e">
            <v>#REF!</v>
          </cell>
          <cell r="I215" t="str">
            <v>V</v>
          </cell>
          <cell r="J215" t="str">
            <v>V</v>
          </cell>
          <cell r="K215" t="str">
            <v>V</v>
          </cell>
          <cell r="M215" t="str">
            <v>הלברג פסיבציה</v>
          </cell>
          <cell r="O215" t="str">
            <v>ממתין לאישור</v>
          </cell>
          <cell r="P215">
            <v>46478</v>
          </cell>
          <cell r="R215" t="str">
            <v>חלקים מוכנים כל ההזמנות ממתין לאישור אספקה</v>
          </cell>
        </row>
        <row r="216">
          <cell r="A216" t="str">
            <v>30P141218800-002</v>
          </cell>
          <cell r="C216">
            <v>3025</v>
          </cell>
          <cell r="D216">
            <v>3025</v>
          </cell>
          <cell r="E216">
            <v>12</v>
          </cell>
          <cell r="F216">
            <v>1</v>
          </cell>
          <cell r="G216" t="e">
            <v>#REF!</v>
          </cell>
          <cell r="I216">
            <v>46426</v>
          </cell>
          <cell r="J216">
            <v>46429</v>
          </cell>
          <cell r="K216">
            <v>46445</v>
          </cell>
          <cell r="M216">
            <v>0</v>
          </cell>
          <cell r="O216">
            <v>46448</v>
          </cell>
          <cell r="P216">
            <v>46448</v>
          </cell>
          <cell r="R216">
            <v>0</v>
          </cell>
        </row>
        <row r="217">
          <cell r="A217" t="str">
            <v>4AS6900608-003</v>
          </cell>
          <cell r="C217">
            <v>3025</v>
          </cell>
          <cell r="D217">
            <v>3025</v>
          </cell>
          <cell r="E217">
            <v>12</v>
          </cell>
          <cell r="I217">
            <v>46313</v>
          </cell>
          <cell r="J217">
            <v>46318</v>
          </cell>
          <cell r="K217">
            <v>46334</v>
          </cell>
          <cell r="M217">
            <v>0</v>
          </cell>
          <cell r="O217">
            <v>46337</v>
          </cell>
          <cell r="P217">
            <v>46462</v>
          </cell>
          <cell r="R217">
            <v>0</v>
          </cell>
        </row>
        <row r="218">
          <cell r="A218" t="str">
            <v>4AS6900315-001</v>
          </cell>
          <cell r="C218">
            <v>3025</v>
          </cell>
          <cell r="D218">
            <v>3025</v>
          </cell>
          <cell r="E218">
            <v>28</v>
          </cell>
          <cell r="I218" t="str">
            <v>V</v>
          </cell>
          <cell r="J218" t="e">
            <v>#N/A</v>
          </cell>
          <cell r="K218" t="e">
            <v>#N/A</v>
          </cell>
          <cell r="M218" t="str">
            <v>מוכן לאיסוף</v>
          </cell>
          <cell r="O218" t="e">
            <v>#N/A</v>
          </cell>
          <cell r="P218">
            <v>46462</v>
          </cell>
          <cell r="R218" t="str">
            <v>סופק ב05/08</v>
          </cell>
        </row>
        <row r="219">
          <cell r="A219" t="str">
            <v>30P450025401-001</v>
          </cell>
          <cell r="C219">
            <v>3025</v>
          </cell>
          <cell r="D219">
            <v>3025</v>
          </cell>
          <cell r="E219">
            <v>12</v>
          </cell>
          <cell r="F219">
            <v>1</v>
          </cell>
          <cell r="G219" t="e">
            <v>#REF!</v>
          </cell>
          <cell r="I219">
            <v>46251</v>
          </cell>
          <cell r="J219">
            <v>46252</v>
          </cell>
          <cell r="K219">
            <v>46268</v>
          </cell>
          <cell r="M219">
            <v>0</v>
          </cell>
          <cell r="O219">
            <v>46271</v>
          </cell>
          <cell r="P219">
            <v>46364</v>
          </cell>
          <cell r="R219">
            <v>0</v>
          </cell>
        </row>
        <row r="220">
          <cell r="A220" t="str">
            <v>30P450173200-002</v>
          </cell>
          <cell r="B220" t="str">
            <v>FITTING 2 FLIGHT CONTROL ATTACH R.H.S</v>
          </cell>
          <cell r="C220">
            <v>3025</v>
          </cell>
          <cell r="D220">
            <v>3025</v>
          </cell>
          <cell r="E220">
            <v>12</v>
          </cell>
          <cell r="F220">
            <v>1</v>
          </cell>
          <cell r="G220" t="e">
            <v>#REF!</v>
          </cell>
          <cell r="I220">
            <v>46254</v>
          </cell>
          <cell r="J220">
            <v>46261</v>
          </cell>
          <cell r="K220">
            <v>46277</v>
          </cell>
          <cell r="M220">
            <v>0</v>
          </cell>
          <cell r="O220">
            <v>46280</v>
          </cell>
          <cell r="P220">
            <v>46386</v>
          </cell>
          <cell r="R220">
            <v>0</v>
          </cell>
        </row>
        <row r="221">
          <cell r="A221" t="str">
            <v>30P141218800-001</v>
          </cell>
          <cell r="C221">
            <v>3026</v>
          </cell>
          <cell r="D221">
            <v>3026</v>
          </cell>
          <cell r="I221">
            <v>46429</v>
          </cell>
          <cell r="J221">
            <v>46433</v>
          </cell>
          <cell r="K221">
            <v>46449</v>
          </cell>
          <cell r="M221">
            <v>0</v>
          </cell>
          <cell r="O221">
            <v>46452</v>
          </cell>
          <cell r="P221">
            <v>46463</v>
          </cell>
          <cell r="R221" t="e">
            <v>#N/A</v>
          </cell>
        </row>
        <row r="222">
          <cell r="A222" t="str">
            <v>30P450193402-501</v>
          </cell>
          <cell r="B222" t="str">
            <v>BOLT 3 ASSEMBLY</v>
          </cell>
          <cell r="C222">
            <v>3026</v>
          </cell>
          <cell r="D222">
            <v>3026</v>
          </cell>
          <cell r="E222">
            <v>16</v>
          </cell>
          <cell r="F222">
            <v>1</v>
          </cell>
          <cell r="G222" t="e">
            <v>#REF!</v>
          </cell>
          <cell r="I222">
            <v>46251</v>
          </cell>
          <cell r="J222">
            <v>46253</v>
          </cell>
          <cell r="K222">
            <v>46269</v>
          </cell>
          <cell r="M222" t="str">
            <v>ניק</v>
          </cell>
          <cell r="O222">
            <v>46272</v>
          </cell>
          <cell r="P222">
            <v>46363</v>
          </cell>
          <cell r="R222" t="str">
            <v>חזר מניק לפני עיבוד סופי ושליחה לציפוי צבע</v>
          </cell>
        </row>
        <row r="223">
          <cell r="A223" t="str">
            <v>SP1M321-5</v>
          </cell>
          <cell r="C223">
            <v>3026</v>
          </cell>
          <cell r="D223">
            <v>3026</v>
          </cell>
          <cell r="E223">
            <v>12</v>
          </cell>
          <cell r="I223">
            <v>46271</v>
          </cell>
          <cell r="J223">
            <v>46278</v>
          </cell>
          <cell r="K223">
            <v>46294</v>
          </cell>
          <cell r="M223">
            <v>0</v>
          </cell>
          <cell r="O223">
            <v>46297</v>
          </cell>
          <cell r="P223">
            <v>46449</v>
          </cell>
          <cell r="R223">
            <v>0</v>
          </cell>
        </row>
        <row r="224">
          <cell r="A224" t="str">
            <v>30P450172000-502</v>
          </cell>
          <cell r="B224" t="str">
            <v>FITTING ASSY REAR ELEVATOR ACTUATOR R.H</v>
          </cell>
          <cell r="C224">
            <v>3026</v>
          </cell>
          <cell r="D224">
            <v>3026</v>
          </cell>
          <cell r="E224">
            <v>12</v>
          </cell>
          <cell r="I224">
            <v>46275</v>
          </cell>
          <cell r="J224">
            <v>46282</v>
          </cell>
          <cell r="K224">
            <v>46298</v>
          </cell>
          <cell r="M224">
            <v>0</v>
          </cell>
          <cell r="O224">
            <v>46301</v>
          </cell>
          <cell r="P224">
            <v>46408</v>
          </cell>
          <cell r="R224">
            <v>0</v>
          </cell>
        </row>
        <row r="225">
          <cell r="A225" t="str">
            <v>30P420164001-001</v>
          </cell>
          <cell r="C225">
            <v>3026</v>
          </cell>
          <cell r="D225">
            <v>3026</v>
          </cell>
          <cell r="E225">
            <v>12</v>
          </cell>
          <cell r="I225" t="str">
            <v>V</v>
          </cell>
          <cell r="J225">
            <v>46244</v>
          </cell>
          <cell r="K225">
            <v>46260</v>
          </cell>
          <cell r="M225">
            <v>0</v>
          </cell>
          <cell r="O225">
            <v>46263</v>
          </cell>
          <cell r="P225">
            <v>46491</v>
          </cell>
          <cell r="R225" t="str">
            <v>לפני תהליכים</v>
          </cell>
        </row>
        <row r="226">
          <cell r="A226" t="str">
            <v>30P450194300-001</v>
          </cell>
          <cell r="B226" t="str">
            <v>BOLT 4</v>
          </cell>
          <cell r="C226">
            <v>3027</v>
          </cell>
          <cell r="D226">
            <v>3027</v>
          </cell>
          <cell r="E226">
            <v>16</v>
          </cell>
          <cell r="F226">
            <v>1</v>
          </cell>
          <cell r="G226" t="e">
            <v>#REF!</v>
          </cell>
          <cell r="I226" t="str">
            <v>V</v>
          </cell>
          <cell r="J226" t="e">
            <v>#N/A</v>
          </cell>
          <cell r="K226" t="e">
            <v>#N/A</v>
          </cell>
          <cell r="L226" t="str">
            <v>אין</v>
          </cell>
          <cell r="M226" t="str">
            <v>תעשייה אווירית</v>
          </cell>
          <cell r="N226" t="str">
            <v>אין</v>
          </cell>
          <cell r="O226" t="str">
            <v>ממתין לאישור</v>
          </cell>
          <cell r="P226">
            <v>46334</v>
          </cell>
          <cell r="R226" t="str">
            <v>חלקים מוכנים כל ההזמנות ממתין לאישור אספקה</v>
          </cell>
        </row>
        <row r="227">
          <cell r="A227" t="str">
            <v>30P331076500-501</v>
          </cell>
          <cell r="B227" t="str">
            <v>FRAME FITTING ASSY</v>
          </cell>
          <cell r="C227">
            <v>3027</v>
          </cell>
          <cell r="D227">
            <v>3027</v>
          </cell>
          <cell r="E227">
            <v>12</v>
          </cell>
          <cell r="I227">
            <v>46424</v>
          </cell>
          <cell r="J227">
            <v>46429</v>
          </cell>
          <cell r="K227">
            <v>46445</v>
          </cell>
          <cell r="M227">
            <v>0</v>
          </cell>
          <cell r="O227">
            <v>46448</v>
          </cell>
          <cell r="P227">
            <v>46448</v>
          </cell>
          <cell r="R227">
            <v>0</v>
          </cell>
        </row>
        <row r="228">
          <cell r="A228" t="str">
            <v>30P141219800-001</v>
          </cell>
          <cell r="C228">
            <v>3027</v>
          </cell>
          <cell r="D228">
            <v>3027</v>
          </cell>
          <cell r="E228">
            <v>12</v>
          </cell>
          <cell r="I228">
            <v>46433</v>
          </cell>
          <cell r="J228">
            <v>46438</v>
          </cell>
          <cell r="K228">
            <v>46454</v>
          </cell>
          <cell r="M228">
            <v>0</v>
          </cell>
          <cell r="O228">
            <v>46457</v>
          </cell>
          <cell r="P228">
            <v>46478</v>
          </cell>
          <cell r="R228">
            <v>0</v>
          </cell>
        </row>
        <row r="229">
          <cell r="A229" t="str">
            <v>30P410022200-502</v>
          </cell>
          <cell r="B229" t="str">
            <v>FORMER 2 ASSEMBLY</v>
          </cell>
          <cell r="C229">
            <v>3028</v>
          </cell>
          <cell r="D229">
            <v>3028</v>
          </cell>
          <cell r="E229">
            <v>12</v>
          </cell>
          <cell r="I229">
            <v>46425</v>
          </cell>
          <cell r="J229">
            <v>46432</v>
          </cell>
          <cell r="K229">
            <v>46448</v>
          </cell>
          <cell r="M229">
            <v>0</v>
          </cell>
          <cell r="O229">
            <v>46451</v>
          </cell>
          <cell r="P229">
            <v>46420</v>
          </cell>
          <cell r="R229" t="e">
            <v>#N/A</v>
          </cell>
        </row>
        <row r="230">
          <cell r="A230" t="str">
            <v>30P583610400-001</v>
          </cell>
          <cell r="C230">
            <v>3028</v>
          </cell>
          <cell r="D230">
            <v>3028</v>
          </cell>
          <cell r="E230">
            <v>12</v>
          </cell>
          <cell r="I230">
            <v>46268</v>
          </cell>
          <cell r="J230">
            <v>46273</v>
          </cell>
          <cell r="K230">
            <v>46289</v>
          </cell>
          <cell r="M230">
            <v>0</v>
          </cell>
          <cell r="O230">
            <v>46292</v>
          </cell>
          <cell r="P230">
            <v>46448</v>
          </cell>
          <cell r="R230">
            <v>0</v>
          </cell>
        </row>
        <row r="231">
          <cell r="A231" t="str">
            <v>30P581602000-501</v>
          </cell>
          <cell r="B231" t="str">
            <v>ARM ASSY</v>
          </cell>
          <cell r="C231">
            <v>3028</v>
          </cell>
          <cell r="D231">
            <v>3028</v>
          </cell>
          <cell r="E231">
            <v>12</v>
          </cell>
          <cell r="I231">
            <v>46419</v>
          </cell>
          <cell r="J231">
            <v>46425</v>
          </cell>
          <cell r="K231">
            <v>46441</v>
          </cell>
          <cell r="M231">
            <v>0</v>
          </cell>
          <cell r="O231">
            <v>46444</v>
          </cell>
          <cell r="P231">
            <v>46406</v>
          </cell>
          <cell r="R231">
            <v>0</v>
          </cell>
        </row>
        <row r="232">
          <cell r="A232" t="str">
            <v>30P460192500-001</v>
          </cell>
          <cell r="B232" t="str">
            <v>FLANGED BUSHING UNCLAMPED</v>
          </cell>
          <cell r="C232">
            <v>3028</v>
          </cell>
          <cell r="D232">
            <v>3028</v>
          </cell>
          <cell r="E232">
            <v>156</v>
          </cell>
          <cell r="F232">
            <v>4</v>
          </cell>
          <cell r="G232" t="e">
            <v>#REF!</v>
          </cell>
          <cell r="I232" t="str">
            <v>V</v>
          </cell>
          <cell r="J232">
            <v>46237</v>
          </cell>
          <cell r="K232">
            <v>46253</v>
          </cell>
          <cell r="M232" t="str">
            <v>גבי שואף</v>
          </cell>
          <cell r="O232">
            <v>46256</v>
          </cell>
          <cell r="P232">
            <v>46448</v>
          </cell>
          <cell r="R232">
            <v>0</v>
          </cell>
        </row>
        <row r="233">
          <cell r="A233" t="str">
            <v>30P141218300-001</v>
          </cell>
          <cell r="C233">
            <v>3028</v>
          </cell>
          <cell r="D233">
            <v>3028</v>
          </cell>
          <cell r="E233">
            <v>12</v>
          </cell>
          <cell r="F233">
            <v>1</v>
          </cell>
          <cell r="G233" t="e">
            <v>#REF!</v>
          </cell>
          <cell r="I233">
            <v>46408</v>
          </cell>
          <cell r="J233">
            <v>46413</v>
          </cell>
          <cell r="K233">
            <v>46429</v>
          </cell>
          <cell r="M233">
            <v>0</v>
          </cell>
          <cell r="O233">
            <v>46432</v>
          </cell>
          <cell r="P233">
            <v>46478</v>
          </cell>
          <cell r="R233">
            <v>0</v>
          </cell>
        </row>
        <row r="234">
          <cell r="A234" t="str">
            <v>30P450123100-001</v>
          </cell>
          <cell r="B234" t="str">
            <v>RIB 3 L.H.S</v>
          </cell>
          <cell r="C234">
            <v>3029</v>
          </cell>
          <cell r="D234">
            <v>3029</v>
          </cell>
          <cell r="E234">
            <v>12</v>
          </cell>
          <cell r="I234">
            <v>46203</v>
          </cell>
          <cell r="J234">
            <v>46215</v>
          </cell>
          <cell r="K234">
            <v>46231</v>
          </cell>
          <cell r="M234">
            <v>0</v>
          </cell>
          <cell r="O234">
            <v>46234</v>
          </cell>
          <cell r="P234">
            <v>46356</v>
          </cell>
          <cell r="R234">
            <v>0</v>
          </cell>
        </row>
        <row r="235">
          <cell r="A235" t="str">
            <v>30P532531600-001</v>
          </cell>
          <cell r="C235">
            <v>3029</v>
          </cell>
          <cell r="D235">
            <v>3029</v>
          </cell>
          <cell r="E235">
            <v>12</v>
          </cell>
          <cell r="I235">
            <v>46275</v>
          </cell>
          <cell r="J235">
            <v>46280</v>
          </cell>
          <cell r="K235">
            <v>46296</v>
          </cell>
          <cell r="M235">
            <v>0</v>
          </cell>
          <cell r="O235">
            <v>46299</v>
          </cell>
          <cell r="P235">
            <v>46492</v>
          </cell>
          <cell r="R235">
            <v>0</v>
          </cell>
        </row>
        <row r="236">
          <cell r="A236" t="str">
            <v>30P532460300-001</v>
          </cell>
          <cell r="C236">
            <v>3029</v>
          </cell>
          <cell r="D236">
            <v>3029</v>
          </cell>
          <cell r="E236">
            <v>12</v>
          </cell>
          <cell r="I236">
            <v>46303</v>
          </cell>
          <cell r="J236">
            <v>46308</v>
          </cell>
          <cell r="K236">
            <v>46324</v>
          </cell>
          <cell r="M236">
            <v>0</v>
          </cell>
          <cell r="O236">
            <v>46327</v>
          </cell>
          <cell r="P236">
            <v>46532</v>
          </cell>
          <cell r="R236">
            <v>0</v>
          </cell>
        </row>
        <row r="237">
          <cell r="A237" t="str">
            <v>30P410022200-501</v>
          </cell>
          <cell r="B237" t="str">
            <v>FORMER 2 ASSEMBLY</v>
          </cell>
          <cell r="C237">
            <v>3030</v>
          </cell>
          <cell r="D237">
            <v>3030</v>
          </cell>
          <cell r="E237">
            <v>12</v>
          </cell>
          <cell r="I237">
            <v>46432</v>
          </cell>
          <cell r="J237">
            <v>46439</v>
          </cell>
          <cell r="K237">
            <v>46455</v>
          </cell>
          <cell r="M237">
            <v>0</v>
          </cell>
          <cell r="O237">
            <v>46458</v>
          </cell>
          <cell r="P237">
            <v>46420</v>
          </cell>
          <cell r="R237">
            <v>0</v>
          </cell>
        </row>
        <row r="238">
          <cell r="A238" t="str">
            <v>30P532531900-001</v>
          </cell>
          <cell r="C238">
            <v>3030</v>
          </cell>
          <cell r="D238">
            <v>3030</v>
          </cell>
          <cell r="E238">
            <v>12</v>
          </cell>
          <cell r="I238">
            <v>46328</v>
          </cell>
          <cell r="J238">
            <v>46332</v>
          </cell>
          <cell r="K238">
            <v>46348</v>
          </cell>
          <cell r="M238">
            <v>0</v>
          </cell>
          <cell r="O238">
            <v>46351</v>
          </cell>
          <cell r="P238">
            <v>46516</v>
          </cell>
          <cell r="R238">
            <v>0</v>
          </cell>
        </row>
        <row r="239">
          <cell r="A239" t="str">
            <v>30P450196701-001</v>
          </cell>
          <cell r="B239" t="str">
            <v>PRIMARY BUSHING  PIVOT</v>
          </cell>
          <cell r="C239">
            <v>3031</v>
          </cell>
          <cell r="D239">
            <v>3031</v>
          </cell>
          <cell r="E239">
            <v>12</v>
          </cell>
          <cell r="I239" t="str">
            <v>יסופק בפברואר 2027</v>
          </cell>
          <cell r="M239">
            <v>0</v>
          </cell>
          <cell r="O239">
            <v>46081</v>
          </cell>
          <cell r="P239">
            <v>46546</v>
          </cell>
          <cell r="R239" t="str">
            <v>יסופק בפברואר 2027</v>
          </cell>
        </row>
        <row r="240">
          <cell r="A240" t="str">
            <v>30P410183401-002</v>
          </cell>
          <cell r="C240">
            <v>3031</v>
          </cell>
          <cell r="D240">
            <v>3031</v>
          </cell>
          <cell r="E240">
            <v>12</v>
          </cell>
          <cell r="I240" t="str">
            <v>V</v>
          </cell>
          <cell r="J240" t="str">
            <v>V</v>
          </cell>
          <cell r="K240" t="e">
            <v>#VALUE!</v>
          </cell>
          <cell r="M240">
            <v>0</v>
          </cell>
          <cell r="O240" t="str">
            <v>ממתין לאישור</v>
          </cell>
          <cell r="P240">
            <v>46538</v>
          </cell>
          <cell r="R240">
            <v>0</v>
          </cell>
        </row>
        <row r="241">
          <cell r="A241" t="str">
            <v>30P450260100-002</v>
          </cell>
          <cell r="C241">
            <v>3031</v>
          </cell>
          <cell r="D241">
            <v>3031</v>
          </cell>
          <cell r="I241">
            <v>46336</v>
          </cell>
          <cell r="J241">
            <v>46343</v>
          </cell>
          <cell r="K241">
            <v>46359</v>
          </cell>
          <cell r="M241">
            <v>0</v>
          </cell>
          <cell r="O241">
            <v>46362</v>
          </cell>
          <cell r="P241">
            <v>46561</v>
          </cell>
          <cell r="R241" t="e">
            <v>#N/A</v>
          </cell>
        </row>
        <row r="242">
          <cell r="A242" t="str">
            <v>30P583610500-001</v>
          </cell>
          <cell r="C242">
            <v>3031</v>
          </cell>
          <cell r="D242">
            <v>3031</v>
          </cell>
          <cell r="E242">
            <v>12</v>
          </cell>
          <cell r="I242">
            <v>46278</v>
          </cell>
          <cell r="J242">
            <v>46283</v>
          </cell>
          <cell r="K242">
            <v>46299</v>
          </cell>
          <cell r="M242">
            <v>0</v>
          </cell>
          <cell r="O242">
            <v>46302</v>
          </cell>
          <cell r="P242">
            <v>46516</v>
          </cell>
          <cell r="R242">
            <v>0</v>
          </cell>
        </row>
        <row r="243">
          <cell r="A243" t="str">
            <v>30P410176500-001</v>
          </cell>
          <cell r="B243" t="str">
            <v>FITTING 1 FLIGHT CONTROL ATTACH</v>
          </cell>
          <cell r="C243">
            <v>3032</v>
          </cell>
          <cell r="D243">
            <v>3032</v>
          </cell>
          <cell r="E243">
            <v>12</v>
          </cell>
          <cell r="I243">
            <v>46396</v>
          </cell>
          <cell r="J243">
            <v>46402</v>
          </cell>
          <cell r="K243">
            <v>46416</v>
          </cell>
          <cell r="M243">
            <v>0</v>
          </cell>
          <cell r="O243">
            <v>46418</v>
          </cell>
          <cell r="P243">
            <v>46400</v>
          </cell>
          <cell r="R243">
            <v>0</v>
          </cell>
        </row>
        <row r="244">
          <cell r="A244" t="str">
            <v>30P450045101-502</v>
          </cell>
          <cell r="C244">
            <v>3032</v>
          </cell>
          <cell r="D244">
            <v>3032</v>
          </cell>
          <cell r="E244">
            <v>12</v>
          </cell>
          <cell r="I244">
            <v>46308</v>
          </cell>
          <cell r="J244">
            <v>46316</v>
          </cell>
          <cell r="K244">
            <v>46332</v>
          </cell>
          <cell r="M244">
            <v>0</v>
          </cell>
          <cell r="O244">
            <v>46335</v>
          </cell>
          <cell r="P244">
            <v>46408</v>
          </cell>
          <cell r="R244">
            <v>0</v>
          </cell>
        </row>
        <row r="245">
          <cell r="A245" t="str">
            <v>30P450045101-501</v>
          </cell>
          <cell r="C245">
            <v>3032</v>
          </cell>
          <cell r="D245">
            <v>3032</v>
          </cell>
          <cell r="E245">
            <v>12</v>
          </cell>
          <cell r="I245">
            <v>46300</v>
          </cell>
          <cell r="J245">
            <v>46308</v>
          </cell>
          <cell r="K245">
            <v>46324</v>
          </cell>
          <cell r="M245">
            <v>0</v>
          </cell>
          <cell r="O245">
            <v>46327</v>
          </cell>
          <cell r="P245">
            <v>46436</v>
          </cell>
          <cell r="R245">
            <v>0</v>
          </cell>
        </row>
        <row r="246">
          <cell r="A246" t="str">
            <v>30P583610000-001</v>
          </cell>
          <cell r="B246" t="str">
            <v>SHAFT</v>
          </cell>
          <cell r="C246">
            <v>3033</v>
          </cell>
          <cell r="D246">
            <v>3033</v>
          </cell>
          <cell r="E246">
            <v>15</v>
          </cell>
          <cell r="F246">
            <v>1</v>
          </cell>
          <cell r="G246" t="e">
            <v>#REF!</v>
          </cell>
          <cell r="I246">
            <v>46260</v>
          </cell>
          <cell r="J246">
            <v>46266</v>
          </cell>
          <cell r="K246">
            <v>46282</v>
          </cell>
          <cell r="M246">
            <v>0</v>
          </cell>
          <cell r="O246">
            <v>46285</v>
          </cell>
          <cell r="P246">
            <v>46331</v>
          </cell>
          <cell r="R246">
            <v>0</v>
          </cell>
        </row>
        <row r="247">
          <cell r="A247" t="str">
            <v>30P410036700-001</v>
          </cell>
          <cell r="B247" t="str">
            <v>BULLET, RIB_MID</v>
          </cell>
          <cell r="C247">
            <v>3034</v>
          </cell>
          <cell r="D247">
            <v>3033</v>
          </cell>
          <cell r="I247" t="str">
            <v>יסופק בפברואר 2027</v>
          </cell>
          <cell r="P247">
            <v>46558</v>
          </cell>
          <cell r="R247" t="str">
            <v>יסופק בפברואר 2027</v>
          </cell>
        </row>
        <row r="248">
          <cell r="A248" t="str">
            <v>30P430212300-001</v>
          </cell>
          <cell r="C248">
            <v>3035</v>
          </cell>
          <cell r="D248">
            <v>3011</v>
          </cell>
          <cell r="E248">
            <v>67</v>
          </cell>
          <cell r="F248">
            <v>1</v>
          </cell>
          <cell r="G248" t="e">
            <v>#REF!</v>
          </cell>
          <cell r="I248" t="str">
            <v>V</v>
          </cell>
          <cell r="J248" t="e">
            <v>#N/A</v>
          </cell>
          <cell r="K248" t="e">
            <v>#N/A</v>
          </cell>
          <cell r="M248" t="str">
            <v>מיקרו צבע</v>
          </cell>
          <cell r="O248" t="e">
            <v>#N/A</v>
          </cell>
          <cell r="P248">
            <v>46178</v>
          </cell>
          <cell r="R248" t="str">
            <v>סופק ב21/07</v>
          </cell>
        </row>
        <row r="249">
          <cell r="A249" t="str">
            <v>30P450123100-002</v>
          </cell>
          <cell r="C249">
            <v>3036</v>
          </cell>
          <cell r="D249">
            <v>3036</v>
          </cell>
          <cell r="I249">
            <v>46215</v>
          </cell>
          <cell r="J249">
            <v>46232</v>
          </cell>
          <cell r="K249">
            <v>46248</v>
          </cell>
          <cell r="M249">
            <v>0</v>
          </cell>
          <cell r="O249">
            <v>46251</v>
          </cell>
          <cell r="P249">
            <v>46506</v>
          </cell>
          <cell r="R249" t="e">
            <v>#N/A</v>
          </cell>
        </row>
        <row r="250">
          <cell r="A250" t="str">
            <v>23376-000-00</v>
          </cell>
          <cell r="C250">
            <v>3049</v>
          </cell>
          <cell r="D250">
            <v>3049</v>
          </cell>
          <cell r="I250" t="str">
            <v>אין הזמנות פתוחות</v>
          </cell>
          <cell r="M250">
            <v>0</v>
          </cell>
          <cell r="P250" t="str">
            <v>אין הזמנות פתוחות</v>
          </cell>
          <cell r="R250">
            <v>0</v>
          </cell>
        </row>
        <row r="251">
          <cell r="A251" t="str">
            <v>30P371191104-501</v>
          </cell>
          <cell r="C251">
            <v>3050</v>
          </cell>
          <cell r="D251">
            <v>3043</v>
          </cell>
          <cell r="E251">
            <v>30</v>
          </cell>
          <cell r="I251">
            <v>46159</v>
          </cell>
          <cell r="J251" t="e">
            <v>#N/A</v>
          </cell>
          <cell r="K251" t="e">
            <v>#N/A</v>
          </cell>
          <cell r="M251" t="str">
            <v>תעשייה אווירית נמצא בהרכבה /ריתוך</v>
          </cell>
          <cell r="N251" t="str">
            <v>3-4 ימים</v>
          </cell>
          <cell r="O251" t="e">
            <v>#N/A</v>
          </cell>
          <cell r="P251">
            <v>46195</v>
          </cell>
          <cell r="R251" t="str">
            <v>סופק ב08/07 כל ההזמנות</v>
          </cell>
        </row>
        <row r="252">
          <cell r="A252" t="str">
            <v>30A2520727-001</v>
          </cell>
          <cell r="C252" t="str">
            <v>טכנולוגיות</v>
          </cell>
          <cell r="D252" t="str">
            <v>טכנולוגיות</v>
          </cell>
          <cell r="E252">
            <v>50</v>
          </cell>
          <cell r="F252">
            <v>1</v>
          </cell>
          <cell r="G252" t="e">
            <v>#REF!</v>
          </cell>
          <cell r="I252">
            <v>46184</v>
          </cell>
          <cell r="J252" t="e">
            <v>#N/A</v>
          </cell>
          <cell r="K252" t="e">
            <v>#N/A</v>
          </cell>
          <cell r="M252" t="str">
            <v>אביג</v>
          </cell>
          <cell r="O252" t="e">
            <v>#N/A</v>
          </cell>
          <cell r="P252">
            <v>46197</v>
          </cell>
          <cell r="R252" t="str">
            <v>סופק ב08/07</v>
          </cell>
        </row>
        <row r="253">
          <cell r="A253" t="str">
            <v>30P788311300-001</v>
          </cell>
          <cell r="C253" t="str">
            <v>טכנולוגיות</v>
          </cell>
          <cell r="D253" t="str">
            <v>טכנולוגיות</v>
          </cell>
          <cell r="E253">
            <v>15</v>
          </cell>
          <cell r="F253">
            <v>1</v>
          </cell>
          <cell r="G253" t="e">
            <v>#REF!</v>
          </cell>
          <cell r="I253">
            <v>46101</v>
          </cell>
          <cell r="J253" t="e">
            <v>#N/A</v>
          </cell>
          <cell r="K253" t="e">
            <v>#N/A</v>
          </cell>
          <cell r="L253" t="str">
            <v>אין</v>
          </cell>
          <cell r="M253" t="str">
            <v>אין</v>
          </cell>
          <cell r="N253" t="str">
            <v>אין</v>
          </cell>
          <cell r="O253" t="str">
            <v>ממתין לאישור</v>
          </cell>
          <cell r="P253">
            <v>46202</v>
          </cell>
          <cell r="R253" t="str">
            <v>חלקים מוכנים כל ההזמנות ממתין לאישור אספקה</v>
          </cell>
        </row>
        <row r="254">
          <cell r="A254" t="str">
            <v>30A2720341-001</v>
          </cell>
          <cell r="C254" t="str">
            <v>טכנולוגיות</v>
          </cell>
          <cell r="D254" t="str">
            <v>טכנולוגיות</v>
          </cell>
          <cell r="E254">
            <v>30</v>
          </cell>
          <cell r="I254">
            <v>46215</v>
          </cell>
          <cell r="J254">
            <v>46245</v>
          </cell>
          <cell r="K254">
            <v>46261</v>
          </cell>
          <cell r="M254">
            <v>0</v>
          </cell>
          <cell r="O254">
            <v>46268</v>
          </cell>
          <cell r="P254">
            <v>46302</v>
          </cell>
          <cell r="R254" t="str">
            <v>ביקורת לתהליכים</v>
          </cell>
        </row>
        <row r="255">
          <cell r="A255" t="str">
            <v>30A2720331-001</v>
          </cell>
          <cell r="C255" t="str">
            <v>טכנולוגיות</v>
          </cell>
          <cell r="D255" t="str">
            <v>טכנולוגיות</v>
          </cell>
          <cell r="E255">
            <v>24</v>
          </cell>
          <cell r="F255">
            <v>1</v>
          </cell>
          <cell r="G255" t="e">
            <v>#REF!</v>
          </cell>
          <cell r="I255" t="str">
            <v>V</v>
          </cell>
          <cell r="J255" t="str">
            <v>V</v>
          </cell>
          <cell r="K255">
            <v>46243</v>
          </cell>
          <cell r="L255">
            <v>46252</v>
          </cell>
          <cell r="M255" t="str">
            <v>שלגרף סימון</v>
          </cell>
          <cell r="O255">
            <v>46253</v>
          </cell>
          <cell r="P255">
            <v>46157</v>
          </cell>
          <cell r="R255" t="str">
            <v>יוצא לשלגרף לסימון</v>
          </cell>
        </row>
        <row r="256">
          <cell r="A256" t="str">
            <v>28406-000-00</v>
          </cell>
          <cell r="C256" t="str">
            <v>טכנולוגיות</v>
          </cell>
          <cell r="D256" t="str">
            <v>טכנולוגיות</v>
          </cell>
          <cell r="E256">
            <v>12</v>
          </cell>
          <cell r="F256">
            <v>1</v>
          </cell>
          <cell r="G256" t="e">
            <v>#REF!</v>
          </cell>
          <cell r="I256">
            <v>46247</v>
          </cell>
          <cell r="J256">
            <v>46252</v>
          </cell>
          <cell r="K256">
            <v>46268</v>
          </cell>
          <cell r="M256">
            <v>0</v>
          </cell>
          <cell r="O256">
            <v>46271</v>
          </cell>
          <cell r="P256">
            <v>46211</v>
          </cell>
          <cell r="R256">
            <v>0</v>
          </cell>
        </row>
        <row r="257">
          <cell r="A257" t="str">
            <v>30A2520697-001</v>
          </cell>
          <cell r="C257" t="str">
            <v>טכנולוגיות</v>
          </cell>
          <cell r="D257" t="str">
            <v>טכנולוגיות</v>
          </cell>
          <cell r="E257">
            <v>60</v>
          </cell>
          <cell r="F257">
            <v>1</v>
          </cell>
          <cell r="G257" t="e">
            <v>#REF!</v>
          </cell>
          <cell r="I257" t="e">
            <v>#N/A</v>
          </cell>
          <cell r="J257">
            <v>46238</v>
          </cell>
          <cell r="K257">
            <v>46250</v>
          </cell>
          <cell r="M257" t="str">
            <v>הלברג</v>
          </cell>
          <cell r="O257">
            <v>46251</v>
          </cell>
          <cell r="P257">
            <v>46185</v>
          </cell>
          <cell r="R257" t="str">
            <v>יצא לתהליכים</v>
          </cell>
        </row>
        <row r="258">
          <cell r="A258" t="str">
            <v>30A2720103-001</v>
          </cell>
          <cell r="C258" t="str">
            <v>טכנולוגיות</v>
          </cell>
          <cell r="D258" t="str">
            <v>טכנולוגיות</v>
          </cell>
          <cell r="E258">
            <v>69</v>
          </cell>
          <cell r="F258">
            <v>1</v>
          </cell>
          <cell r="G258" t="e">
            <v>#REF!</v>
          </cell>
          <cell r="I258">
            <v>46276</v>
          </cell>
          <cell r="J258">
            <v>46281</v>
          </cell>
          <cell r="K258">
            <v>46297</v>
          </cell>
          <cell r="M258">
            <v>0</v>
          </cell>
          <cell r="O258">
            <v>46300</v>
          </cell>
          <cell r="P258">
            <v>46201</v>
          </cell>
          <cell r="R258">
            <v>0</v>
          </cell>
        </row>
        <row r="259">
          <cell r="A259" t="str">
            <v>28141-000-00</v>
          </cell>
          <cell r="C259" t="str">
            <v>טכנולוגיות</v>
          </cell>
          <cell r="D259" t="str">
            <v>טכנולוגיות</v>
          </cell>
          <cell r="E259">
            <v>49</v>
          </cell>
          <cell r="I259">
            <v>46180</v>
          </cell>
          <cell r="J259" t="str">
            <v>V</v>
          </cell>
          <cell r="K259">
            <v>46243</v>
          </cell>
          <cell r="M259" t="str">
            <v>נדיב -צפי סיום 06/08 לפי תשובה של ספק</v>
          </cell>
          <cell r="O259">
            <v>46246</v>
          </cell>
          <cell r="P259">
            <v>46209</v>
          </cell>
          <cell r="R259" t="str">
            <v>חזר מתהליכים</v>
          </cell>
        </row>
        <row r="260">
          <cell r="A260" t="str">
            <v>30P317607200-001</v>
          </cell>
          <cell r="C260" t="str">
            <v>טכנולוגיות</v>
          </cell>
          <cell r="D260" t="str">
            <v>טכנולוגיות</v>
          </cell>
          <cell r="E260">
            <v>66</v>
          </cell>
          <cell r="F260">
            <v>1</v>
          </cell>
          <cell r="G260" t="e">
            <v>#REF!</v>
          </cell>
          <cell r="I260" t="str">
            <v>V</v>
          </cell>
          <cell r="J260">
            <v>46238</v>
          </cell>
          <cell r="K260">
            <v>46250</v>
          </cell>
          <cell r="M260" t="str">
            <v>הלברג</v>
          </cell>
          <cell r="O260">
            <v>46253</v>
          </cell>
          <cell r="P260">
            <v>46239</v>
          </cell>
          <cell r="R260" t="str">
            <v>בתהליכים</v>
          </cell>
        </row>
        <row r="261">
          <cell r="A261" t="str">
            <v>23113-000-00</v>
          </cell>
          <cell r="C261" t="str">
            <v>טכנולוגיות</v>
          </cell>
          <cell r="D261" t="str">
            <v>טכנולוגיות</v>
          </cell>
          <cell r="I261" t="str">
            <v>אין הזמנות פתוחות</v>
          </cell>
          <cell r="M261">
            <v>0</v>
          </cell>
          <cell r="O261" t="str">
            <v>אין הזמנות פתוחות</v>
          </cell>
          <cell r="P261" t="str">
            <v>אין הזמנות פתוחות</v>
          </cell>
          <cell r="R261" t="str">
            <v>אין לנו הזמנות לפריט הזה וגם בעבר לא היו</v>
          </cell>
        </row>
        <row r="262">
          <cell r="A262" t="str">
            <v>23112-000-00</v>
          </cell>
          <cell r="C262" t="str">
            <v>טכנולוגיות</v>
          </cell>
          <cell r="D262" t="str">
            <v>טכנולוגיות</v>
          </cell>
          <cell r="I262" t="str">
            <v>אין הזמנות פתוחות</v>
          </cell>
          <cell r="M262">
            <v>0</v>
          </cell>
          <cell r="O262" t="str">
            <v>אין הזמנות פתוחות</v>
          </cell>
          <cell r="P262" t="str">
            <v>אין הזמנות פתוחות</v>
          </cell>
          <cell r="R262" t="str">
            <v>אין לנו הזמנות לפריט הזה וגם בעבר לא היו</v>
          </cell>
        </row>
        <row r="263">
          <cell r="A263" t="str">
            <v>23121-000-00</v>
          </cell>
          <cell r="C263" t="str">
            <v>טכנולוגיות</v>
          </cell>
          <cell r="D263" t="str">
            <v>טכנולוגיות</v>
          </cell>
          <cell r="I263" t="str">
            <v>אין הזמנות פתוחות</v>
          </cell>
          <cell r="M263">
            <v>0</v>
          </cell>
          <cell r="O263" t="str">
            <v>אין הזמנות פתוחות</v>
          </cell>
          <cell r="P263" t="str">
            <v>אין הזמנות פתוחות</v>
          </cell>
          <cell r="R263" t="str">
            <v>אין הזמנות פתוחות</v>
          </cell>
        </row>
        <row r="264">
          <cell r="A264" t="str">
            <v>23127-000-00</v>
          </cell>
          <cell r="C264" t="str">
            <v>טכנולוגיות</v>
          </cell>
          <cell r="D264" t="str">
            <v>טכנולוגיות</v>
          </cell>
          <cell r="I264" t="str">
            <v>אין הזמנות פתוחות</v>
          </cell>
          <cell r="M264">
            <v>0</v>
          </cell>
          <cell r="O264" t="str">
            <v>אין הזמנות פתוחות</v>
          </cell>
          <cell r="P264" t="str">
            <v>אין הזמנות פתוחות</v>
          </cell>
          <cell r="R264" t="str">
            <v>אין לנו הזמנות לפריט הזה וגם בעבר לא היו</v>
          </cell>
        </row>
        <row r="265">
          <cell r="A265" t="str">
            <v>30A2520448-001</v>
          </cell>
          <cell r="C265" t="str">
            <v>טכנולוגיות</v>
          </cell>
          <cell r="D265" t="str">
            <v>טכנולוגיות</v>
          </cell>
          <cell r="I265" t="str">
            <v>אין הזמנות פתוחות</v>
          </cell>
          <cell r="M265">
            <v>0</v>
          </cell>
          <cell r="O265" t="str">
            <v>אין הזמנות פתוחות</v>
          </cell>
          <cell r="P265" t="str">
            <v>אין הזמנות פתוחות</v>
          </cell>
          <cell r="R265" t="str">
            <v>אין לנו הזמנות לפריט הזה וגם בעבר לא היו</v>
          </cell>
        </row>
        <row r="266">
          <cell r="A266" t="str">
            <v>23101-000-00</v>
          </cell>
          <cell r="C266" t="str">
            <v>טכנולוגיות</v>
          </cell>
          <cell r="D266" t="str">
            <v>טכנולוגיות</v>
          </cell>
          <cell r="I266" t="str">
            <v>אין הזמנות פתוחות</v>
          </cell>
          <cell r="M266">
            <v>0</v>
          </cell>
          <cell r="O266" t="str">
            <v>אין הזמנות פתוחות</v>
          </cell>
          <cell r="P266" t="str">
            <v>אין הזמנות פתוחות</v>
          </cell>
          <cell r="R266" t="str">
            <v>אין לנו הזמנות לפריט הזה וגם בעבר לא היו</v>
          </cell>
        </row>
        <row r="267">
          <cell r="A267" t="str">
            <v>23239-000-00</v>
          </cell>
          <cell r="C267" t="str">
            <v>טכנולוגיות</v>
          </cell>
          <cell r="D267" t="str">
            <v>טכנולוגיות</v>
          </cell>
          <cell r="I267" t="str">
            <v>אין הזמנות פתוחות</v>
          </cell>
          <cell r="M267">
            <v>0</v>
          </cell>
          <cell r="O267" t="str">
            <v>אין הזמנות פתוחות</v>
          </cell>
          <cell r="P267" t="str">
            <v>אין הזמנות פתוחות</v>
          </cell>
          <cell r="R267" t="str">
            <v>אין לנו הזמנות לפריט הזה וגם בעבר לא היו</v>
          </cell>
        </row>
        <row r="268">
          <cell r="A268" t="str">
            <v>23148-000-00</v>
          </cell>
          <cell r="C268" t="str">
            <v>טכנולוגיות</v>
          </cell>
          <cell r="D268" t="str">
            <v>טכנולוגיות</v>
          </cell>
          <cell r="I268" t="str">
            <v>אין הזמנות פתוחות</v>
          </cell>
          <cell r="M268">
            <v>0</v>
          </cell>
          <cell r="O268" t="str">
            <v>אין הזמנות פתוחות</v>
          </cell>
          <cell r="P268" t="str">
            <v>אין הזמנות פתוחות</v>
          </cell>
          <cell r="R268" t="str">
            <v>אין לנו הזמנות לפריט הזה וגם בעבר לא היו</v>
          </cell>
        </row>
        <row r="269">
          <cell r="A269" t="str">
            <v>30A2720512-001</v>
          </cell>
          <cell r="C269" t="str">
            <v>טכנולוגיות</v>
          </cell>
          <cell r="D269" t="str">
            <v>טכנולוגיות</v>
          </cell>
          <cell r="I269" t="str">
            <v>אין הזמנות פתוחות</v>
          </cell>
          <cell r="M269">
            <v>0</v>
          </cell>
          <cell r="O269" t="str">
            <v>אין הזמנות פתוחות</v>
          </cell>
          <cell r="P269" t="str">
            <v>אין הזמנות פתוחות</v>
          </cell>
          <cell r="R269" t="str">
            <v>אין לנו הזמנות לפריט הזה וגם בעבר לא היו</v>
          </cell>
        </row>
        <row r="270">
          <cell r="A270" t="str">
            <v>30P141236900-501</v>
          </cell>
          <cell r="B270" t="str">
            <v>COAT ROD AFT FITTING ASSY</v>
          </cell>
          <cell r="C270" t="e">
            <v>#N/A</v>
          </cell>
          <cell r="D270" t="e">
            <v>#N/A</v>
          </cell>
          <cell r="E270">
            <v>2</v>
          </cell>
          <cell r="F270">
            <v>1</v>
          </cell>
          <cell r="G270" t="e">
            <v>#REF!</v>
          </cell>
          <cell r="I270">
            <v>46201</v>
          </cell>
          <cell r="J270">
            <v>46237</v>
          </cell>
          <cell r="K270">
            <v>46250</v>
          </cell>
          <cell r="L270" t="str">
            <v>אין</v>
          </cell>
          <cell r="M270" t="str">
            <v>אביג</v>
          </cell>
          <cell r="N270" t="str">
            <v>3-4 ימים</v>
          </cell>
          <cell r="O270">
            <v>46253</v>
          </cell>
          <cell r="P270">
            <v>46160</v>
          </cell>
          <cell r="Q270" t="str">
            <v>DDP1</v>
          </cell>
          <cell r="R270" t="str">
            <v xml:space="preserve">בתהליכים </v>
          </cell>
        </row>
        <row r="271">
          <cell r="A271" t="str">
            <v>30P581651301-001</v>
          </cell>
          <cell r="B271" t="str">
            <v>SPACER</v>
          </cell>
          <cell r="C271" t="e">
            <v>#N/A</v>
          </cell>
          <cell r="D271" t="e">
            <v>#N/A</v>
          </cell>
          <cell r="E271">
            <v>38</v>
          </cell>
          <cell r="F271">
            <v>1</v>
          </cell>
          <cell r="G271" t="e">
            <v>#REF!</v>
          </cell>
          <cell r="I271" t="str">
            <v>V</v>
          </cell>
          <cell r="J271" t="e">
            <v>#N/A</v>
          </cell>
          <cell r="K271" t="e">
            <v>#N/A</v>
          </cell>
          <cell r="M271" t="str">
            <v>מיקרו צבע</v>
          </cell>
          <cell r="O271" t="str">
            <v>ממתין לאישור</v>
          </cell>
          <cell r="P271">
            <v>46363</v>
          </cell>
          <cell r="R271" t="str">
            <v>חלקים מוכנים כל ההזמנות ממתין לאישור אספקה</v>
          </cell>
        </row>
        <row r="272">
          <cell r="A272" t="str">
            <v>30P283003300-001</v>
          </cell>
          <cell r="C272" t="e">
            <v>#N/A</v>
          </cell>
          <cell r="D272" t="e">
            <v>#N/A</v>
          </cell>
          <cell r="E272">
            <v>12</v>
          </cell>
          <cell r="I272">
            <v>46265</v>
          </cell>
          <cell r="J272">
            <v>46270</v>
          </cell>
          <cell r="K272">
            <v>46286</v>
          </cell>
          <cell r="M272">
            <v>0</v>
          </cell>
          <cell r="O272">
            <v>46289</v>
          </cell>
          <cell r="P272">
            <v>46722</v>
          </cell>
          <cell r="R272">
            <v>0</v>
          </cell>
        </row>
        <row r="273">
          <cell r="A273" t="str">
            <v>30P317540300-001</v>
          </cell>
          <cell r="C273" t="e">
            <v>#N/A</v>
          </cell>
          <cell r="D273" t="e">
            <v>#N/A</v>
          </cell>
          <cell r="I273" t="str">
            <v>לבדיקתכם ביטול 1 יח</v>
          </cell>
          <cell r="M273">
            <v>0</v>
          </cell>
          <cell r="O273" t="str">
            <v>לבדיקתכם ביטול 1 יח</v>
          </cell>
          <cell r="P273">
            <v>46489</v>
          </cell>
          <cell r="R273" t="str">
            <v>יח 1 יתרה -לבדיקתכם האם ניתן לבטל?או שיש עוד הזמנה חדשה?</v>
          </cell>
        </row>
        <row r="274">
          <cell r="A274" t="str">
            <v>4AS2830212-501</v>
          </cell>
          <cell r="C274" t="e">
            <v>#N/A</v>
          </cell>
          <cell r="D274" t="e">
            <v>#N/A</v>
          </cell>
          <cell r="E274">
            <v>2</v>
          </cell>
          <cell r="F274">
            <v>1</v>
          </cell>
          <cell r="G274" t="e">
            <v>#REF!</v>
          </cell>
          <cell r="I274" t="str">
            <v>ממתין לעדכון כמות</v>
          </cell>
          <cell r="M274">
            <v>0</v>
          </cell>
          <cell r="O274" t="str">
            <v>ממתין לעדכון כמות</v>
          </cell>
          <cell r="P274">
            <v>46772</v>
          </cell>
          <cell r="R274">
            <v>0</v>
          </cell>
        </row>
        <row r="275">
          <cell r="A275" t="str">
            <v>SP1M321-4</v>
          </cell>
          <cell r="C275" t="e">
            <v>#N/A</v>
          </cell>
          <cell r="D275" t="e">
            <v>#N/A</v>
          </cell>
          <cell r="E275">
            <v>24</v>
          </cell>
          <cell r="I275">
            <v>46264</v>
          </cell>
          <cell r="J275">
            <v>46271</v>
          </cell>
          <cell r="K275">
            <v>46287</v>
          </cell>
          <cell r="M275">
            <v>0</v>
          </cell>
          <cell r="O275">
            <v>46290</v>
          </cell>
          <cell r="P275">
            <v>46656</v>
          </cell>
          <cell r="R275" t="e">
            <v>#N/A</v>
          </cell>
        </row>
        <row r="276">
          <cell r="A276" t="str">
            <v>30P357200200-001</v>
          </cell>
          <cell r="C276" t="e">
            <v>#N/A</v>
          </cell>
          <cell r="D276" t="e">
            <v>#N/A</v>
          </cell>
          <cell r="E276">
            <v>12</v>
          </cell>
          <cell r="I276">
            <v>46332</v>
          </cell>
          <cell r="J276">
            <v>46353</v>
          </cell>
          <cell r="K276">
            <v>46369</v>
          </cell>
          <cell r="M276">
            <v>0</v>
          </cell>
          <cell r="O276">
            <v>46372</v>
          </cell>
          <cell r="P276">
            <v>46779</v>
          </cell>
          <cell r="R276">
            <v>0</v>
          </cell>
        </row>
        <row r="277">
          <cell r="A277" t="str">
            <v>30P410185501-001</v>
          </cell>
          <cell r="C277" t="e">
            <v>#N/A</v>
          </cell>
          <cell r="D277" t="e">
            <v>#N/A</v>
          </cell>
          <cell r="E277">
            <v>12</v>
          </cell>
          <cell r="F277">
            <v>1</v>
          </cell>
          <cell r="G277" t="e">
            <v>#REF!</v>
          </cell>
          <cell r="I277" t="e">
            <v>#N/A</v>
          </cell>
          <cell r="J277" t="e">
            <v>#N/A</v>
          </cell>
          <cell r="K277" t="e">
            <v>#N/A</v>
          </cell>
          <cell r="M277">
            <v>0</v>
          </cell>
          <cell r="O277">
            <v>46476</v>
          </cell>
          <cell r="P277">
            <v>46639</v>
          </cell>
          <cell r="R277" t="str">
            <v>יסופק במרץ 2027</v>
          </cell>
        </row>
        <row r="278">
          <cell r="A278" t="str">
            <v>30P310029501-001</v>
          </cell>
          <cell r="C278" t="e">
            <v>#N/A</v>
          </cell>
          <cell r="D278" t="e">
            <v>#N/A</v>
          </cell>
          <cell r="E278">
            <v>12</v>
          </cell>
          <cell r="I278">
            <v>46419</v>
          </cell>
          <cell r="J278">
            <v>46424</v>
          </cell>
          <cell r="K278">
            <v>46440</v>
          </cell>
          <cell r="M278">
            <v>0</v>
          </cell>
          <cell r="O278">
            <v>46443</v>
          </cell>
          <cell r="P278">
            <v>46656</v>
          </cell>
          <cell r="R278">
            <v>0</v>
          </cell>
        </row>
        <row r="279">
          <cell r="A279" t="str">
            <v>30P410185300-501</v>
          </cell>
          <cell r="C279" t="e">
            <v>#N/A</v>
          </cell>
          <cell r="D279" t="e">
            <v>#N/A</v>
          </cell>
          <cell r="E279">
            <v>12</v>
          </cell>
          <cell r="I279">
            <v>46324</v>
          </cell>
          <cell r="J279">
            <v>46329</v>
          </cell>
          <cell r="K279">
            <v>46345</v>
          </cell>
          <cell r="M279">
            <v>0</v>
          </cell>
          <cell r="O279">
            <v>46348</v>
          </cell>
          <cell r="P279">
            <v>46568</v>
          </cell>
          <cell r="R279">
            <v>0</v>
          </cell>
        </row>
        <row r="280">
          <cell r="A280" t="str">
            <v>30P420164100-001</v>
          </cell>
          <cell r="C280" t="e">
            <v>#N/A</v>
          </cell>
          <cell r="D280" t="e">
            <v>#N/A</v>
          </cell>
          <cell r="E280">
            <v>6</v>
          </cell>
          <cell r="I280">
            <v>46292</v>
          </cell>
          <cell r="J280">
            <v>46295</v>
          </cell>
          <cell r="K280">
            <v>46311</v>
          </cell>
          <cell r="M280">
            <v>0</v>
          </cell>
          <cell r="O280">
            <v>46314</v>
          </cell>
          <cell r="P280">
            <v>46604</v>
          </cell>
          <cell r="R280" t="str">
            <v>נספק ב2027 -כשתתנו אישור לספק</v>
          </cell>
        </row>
        <row r="281">
          <cell r="A281" t="str">
            <v>30P410177601-001</v>
          </cell>
          <cell r="B281" t="str">
            <v>FITTING DRAG AFT FUSELAGE ATTACH FRONT</v>
          </cell>
          <cell r="C281" t="e">
            <v>#N/A</v>
          </cell>
          <cell r="D281" t="e">
            <v>#N/A</v>
          </cell>
          <cell r="E281">
            <v>17</v>
          </cell>
          <cell r="F281">
            <v>2</v>
          </cell>
          <cell r="G281" t="e">
            <v>#REF!</v>
          </cell>
          <cell r="H281" t="str">
            <v>5 צירים</v>
          </cell>
          <cell r="I281">
            <v>46174</v>
          </cell>
          <cell r="J281" t="str">
            <v>V</v>
          </cell>
          <cell r="K281">
            <v>46260</v>
          </cell>
          <cell r="M281" t="str">
            <v>תעשייה אווירית  -צפי סיום לפי רומן 26.08</v>
          </cell>
          <cell r="N281" t="str">
            <v>אין</v>
          </cell>
          <cell r="O281">
            <v>46265</v>
          </cell>
          <cell r="P281">
            <v>46170</v>
          </cell>
          <cell r="R281" t="str">
            <v>יצא לתהליכים</v>
          </cell>
        </row>
        <row r="282">
          <cell r="A282" t="str">
            <v>SP1M293-3-8</v>
          </cell>
          <cell r="C282" t="e">
            <v>#N/A</v>
          </cell>
          <cell r="D282" t="e">
            <v>#N/A</v>
          </cell>
          <cell r="E282">
            <v>14</v>
          </cell>
          <cell r="F282">
            <v>1</v>
          </cell>
          <cell r="G282" t="e">
            <v>#REF!</v>
          </cell>
          <cell r="I282">
            <v>46262</v>
          </cell>
          <cell r="J282">
            <v>46265</v>
          </cell>
          <cell r="K282">
            <v>46281</v>
          </cell>
          <cell r="M282">
            <v>0</v>
          </cell>
          <cell r="O282">
            <v>46284</v>
          </cell>
          <cell r="P282">
            <v>46401</v>
          </cell>
          <cell r="R282">
            <v>0</v>
          </cell>
        </row>
        <row r="283">
          <cell r="A283" t="str">
            <v>30A2520106-001</v>
          </cell>
          <cell r="C283" t="e">
            <v>#N/A</v>
          </cell>
          <cell r="D283" t="e">
            <v>#N/A</v>
          </cell>
          <cell r="E283">
            <v>12</v>
          </cell>
          <cell r="F283">
            <v>1</v>
          </cell>
          <cell r="G283" t="e">
            <v>#REF!</v>
          </cell>
          <cell r="I283">
            <v>46275</v>
          </cell>
          <cell r="J283">
            <v>46279</v>
          </cell>
          <cell r="K283">
            <v>46295</v>
          </cell>
          <cell r="M283">
            <v>0</v>
          </cell>
          <cell r="O283">
            <v>46298</v>
          </cell>
          <cell r="P283">
            <v>46364</v>
          </cell>
          <cell r="R283">
            <v>0</v>
          </cell>
        </row>
        <row r="284">
          <cell r="A284" t="str">
            <v>4AS3110022-001</v>
          </cell>
          <cell r="C284" t="e">
            <v>#N/A</v>
          </cell>
          <cell r="D284" t="e">
            <v>#N/A</v>
          </cell>
          <cell r="E284">
            <v>12</v>
          </cell>
          <cell r="F284">
            <v>1</v>
          </cell>
          <cell r="G284" t="e">
            <v>#REF!</v>
          </cell>
          <cell r="I284">
            <v>46414</v>
          </cell>
          <cell r="J284">
            <v>46419</v>
          </cell>
          <cell r="K284">
            <v>46435</v>
          </cell>
          <cell r="M284">
            <v>0</v>
          </cell>
          <cell r="O284">
            <v>46438</v>
          </cell>
          <cell r="P284">
            <v>46327</v>
          </cell>
          <cell r="R284">
            <v>0</v>
          </cell>
        </row>
        <row r="285">
          <cell r="A285" t="str">
            <v>4AS3110023-003</v>
          </cell>
          <cell r="C285" t="e">
            <v>#N/A</v>
          </cell>
          <cell r="D285" t="e">
            <v>#N/A</v>
          </cell>
          <cell r="E285">
            <v>15</v>
          </cell>
          <cell r="F285">
            <v>1</v>
          </cell>
          <cell r="G285" t="e">
            <v>#REF!</v>
          </cell>
          <cell r="I285" t="str">
            <v>חסר מודל פריט עצור</v>
          </cell>
          <cell r="M285">
            <v>0</v>
          </cell>
          <cell r="O285" t="str">
            <v>חסר מודל פריט עצור</v>
          </cell>
          <cell r="P285">
            <v>46299</v>
          </cell>
          <cell r="R285" t="str">
            <v>חסר מודל-פריט עצור</v>
          </cell>
        </row>
        <row r="286">
          <cell r="A286" t="str">
            <v>4AS3112108-001</v>
          </cell>
          <cell r="C286" t="e">
            <v>#N/A</v>
          </cell>
          <cell r="D286" t="e">
            <v>#N/A</v>
          </cell>
          <cell r="E286">
            <v>12</v>
          </cell>
          <cell r="F286">
            <v>1</v>
          </cell>
          <cell r="G286" t="e">
            <v>#REF!</v>
          </cell>
          <cell r="I286">
            <v>46210</v>
          </cell>
          <cell r="J286" t="e">
            <v>#N/A</v>
          </cell>
          <cell r="K286" t="e">
            <v>#N/A</v>
          </cell>
          <cell r="M286">
            <v>0</v>
          </cell>
          <cell r="P286">
            <v>46273</v>
          </cell>
          <cell r="R286">
            <v>0</v>
          </cell>
        </row>
        <row r="287">
          <cell r="A287" t="str">
            <v>4AS3110023-004</v>
          </cell>
          <cell r="C287" t="e">
            <v>#N/A</v>
          </cell>
          <cell r="D287" t="e">
            <v>#N/A</v>
          </cell>
          <cell r="E287">
            <v>12</v>
          </cell>
          <cell r="F287">
            <v>1</v>
          </cell>
          <cell r="G287" t="e">
            <v>#REF!</v>
          </cell>
          <cell r="I287">
            <v>46409</v>
          </cell>
          <cell r="J287">
            <v>46414</v>
          </cell>
          <cell r="K287">
            <v>46430</v>
          </cell>
          <cell r="M287">
            <v>0</v>
          </cell>
          <cell r="O287">
            <v>46433</v>
          </cell>
          <cell r="P287">
            <v>46357</v>
          </cell>
          <cell r="R287">
            <v>0</v>
          </cell>
        </row>
        <row r="288">
          <cell r="A288" t="str">
            <v>4AS3110022-002</v>
          </cell>
          <cell r="C288" t="e">
            <v>#N/A</v>
          </cell>
          <cell r="D288" t="e">
            <v>#N/A</v>
          </cell>
          <cell r="E288">
            <v>15</v>
          </cell>
          <cell r="F288">
            <v>1</v>
          </cell>
          <cell r="G288" t="e">
            <v>#REF!</v>
          </cell>
          <cell r="I288">
            <v>46419</v>
          </cell>
          <cell r="J288">
            <v>46424</v>
          </cell>
          <cell r="K288">
            <v>46440</v>
          </cell>
          <cell r="M288">
            <v>0</v>
          </cell>
          <cell r="O288">
            <v>46443</v>
          </cell>
          <cell r="P288">
            <v>46343</v>
          </cell>
          <cell r="R288">
            <v>0</v>
          </cell>
        </row>
        <row r="289">
          <cell r="A289" t="str">
            <v>28803-000-00</v>
          </cell>
          <cell r="C289" t="e">
            <v>#N/A</v>
          </cell>
          <cell r="D289" t="e">
            <v>#N/A</v>
          </cell>
          <cell r="E289">
            <v>12</v>
          </cell>
          <cell r="F289">
            <v>1</v>
          </cell>
          <cell r="G289" t="e">
            <v>#REF!</v>
          </cell>
          <cell r="I289">
            <v>46279</v>
          </cell>
          <cell r="J289">
            <v>46283</v>
          </cell>
          <cell r="K289">
            <v>46299</v>
          </cell>
          <cell r="M289">
            <v>0</v>
          </cell>
          <cell r="O289">
            <v>46302</v>
          </cell>
          <cell r="P289">
            <v>46393</v>
          </cell>
          <cell r="R289">
            <v>0</v>
          </cell>
        </row>
        <row r="290">
          <cell r="A290" t="str">
            <v>SP3M003P8-009</v>
          </cell>
          <cell r="C290" t="e">
            <v>#N/A</v>
          </cell>
          <cell r="D290" t="e">
            <v>#N/A</v>
          </cell>
          <cell r="I290" t="str">
            <v>אין הזמנות פתוחות</v>
          </cell>
          <cell r="M290">
            <v>0</v>
          </cell>
          <cell r="O290" t="str">
            <v>אין הזמנות פתוחות</v>
          </cell>
          <cell r="P290" t="str">
            <v>אין הזמנות פתוחות</v>
          </cell>
          <cell r="R290">
            <v>0</v>
          </cell>
        </row>
        <row r="291">
          <cell r="A291" t="str">
            <v>SP3M003P8-008</v>
          </cell>
          <cell r="C291" t="e">
            <v>#N/A</v>
          </cell>
          <cell r="D291" t="e">
            <v>#N/A</v>
          </cell>
          <cell r="I291" t="str">
            <v>אין הזמנות פתוחות</v>
          </cell>
          <cell r="M291">
            <v>0</v>
          </cell>
          <cell r="O291" t="str">
            <v>אין הזמנות פתוחות</v>
          </cell>
          <cell r="P291" t="str">
            <v>אין הזמנות פתוחות</v>
          </cell>
          <cell r="R291">
            <v>0</v>
          </cell>
        </row>
        <row r="292">
          <cell r="A292" t="str">
            <v>30P654011400-002</v>
          </cell>
          <cell r="C292" t="e">
            <v>#N/A</v>
          </cell>
          <cell r="D292" t="e">
            <v>#N/A</v>
          </cell>
          <cell r="I292" t="str">
            <v>אין הזמנות פתוחות</v>
          </cell>
          <cell r="M292">
            <v>0</v>
          </cell>
          <cell r="O292" t="str">
            <v>אין הזמנות פתוחות</v>
          </cell>
          <cell r="P292" t="str">
            <v>אין הזמנות פתוחות</v>
          </cell>
          <cell r="R292">
            <v>0</v>
          </cell>
        </row>
        <row r="293">
          <cell r="A293" t="str">
            <v>30P450121100-001</v>
          </cell>
          <cell r="C293" t="e">
            <v>#N/A</v>
          </cell>
          <cell r="D293" t="e">
            <v>#N/A</v>
          </cell>
          <cell r="I293" t="str">
            <v>אין הזמנות פתוחות</v>
          </cell>
          <cell r="M293">
            <v>0</v>
          </cell>
          <cell r="O293" t="str">
            <v>אין הזמנות פתוחות</v>
          </cell>
          <cell r="P293" t="str">
            <v>אין הזמנות פתוחות</v>
          </cell>
          <cell r="R293">
            <v>0</v>
          </cell>
        </row>
        <row r="294">
          <cell r="A294" t="str">
            <v>32G410114100-001</v>
          </cell>
          <cell r="C294" t="e">
            <v>#N/A</v>
          </cell>
          <cell r="D294" t="e">
            <v>#N/A</v>
          </cell>
          <cell r="I294" t="str">
            <v>אין הזמנות פתוחות</v>
          </cell>
          <cell r="M294">
            <v>0</v>
          </cell>
          <cell r="O294" t="str">
            <v>אין הזמנות פתוחות</v>
          </cell>
          <cell r="P294" t="str">
            <v>אין הזמנות פתוחות</v>
          </cell>
          <cell r="R294">
            <v>0</v>
          </cell>
        </row>
        <row r="295">
          <cell r="A295" t="str">
            <v>30P450121100-002</v>
          </cell>
          <cell r="C295" t="e">
            <v>#N/A</v>
          </cell>
          <cell r="D295" t="e">
            <v>#N/A</v>
          </cell>
          <cell r="I295" t="str">
            <v>אין הזמנות פתוחות</v>
          </cell>
          <cell r="M295">
            <v>0</v>
          </cell>
          <cell r="O295" t="str">
            <v>אין הזמנות פתוחות</v>
          </cell>
          <cell r="P295" t="str">
            <v>אין הזמנות פתוחות</v>
          </cell>
          <cell r="R295">
            <v>0</v>
          </cell>
        </row>
        <row r="296">
          <cell r="A296" t="str">
            <v>30P355115200-001</v>
          </cell>
          <cell r="C296" t="e">
            <v>#N/A</v>
          </cell>
          <cell r="D296" t="e">
            <v>#N/A</v>
          </cell>
          <cell r="E296">
            <v>12</v>
          </cell>
          <cell r="F296">
            <v>1</v>
          </cell>
          <cell r="G296" t="e">
            <v>#REF!</v>
          </cell>
          <cell r="I296" t="e">
            <v>#N/A</v>
          </cell>
          <cell r="J296" t="e">
            <v>#N/A</v>
          </cell>
          <cell r="O296" t="str">
            <v>הזמנה בוטלה</v>
          </cell>
          <cell r="P296" t="str">
            <v>אין הזמנות פתוחות</v>
          </cell>
          <cell r="R296" t="str">
            <v>פריט זיווד , הזמנה בוטלה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50845-3B4E-4214-B1DC-07BC5A7E95DA}">
  <dimension ref="A1:BB243"/>
  <sheetViews>
    <sheetView topLeftCell="A94" workbookViewId="0">
      <selection activeCell="A113" sqref="A113"/>
    </sheetView>
  </sheetViews>
  <sheetFormatPr defaultRowHeight="14.4" x14ac:dyDescent="0.3"/>
  <cols>
    <col min="1" max="1" width="17.21875" bestFit="1" customWidth="1"/>
    <col min="2" max="23" width="4.77734375" customWidth="1"/>
    <col min="28" max="28" width="9.88671875" bestFit="1" customWidth="1"/>
    <col min="29" max="29" width="11.21875" bestFit="1" customWidth="1"/>
    <col min="30" max="30" width="22" customWidth="1"/>
    <col min="31" max="54" width="4.77734375" customWidth="1"/>
  </cols>
  <sheetData>
    <row r="1" spans="1:54" x14ac:dyDescent="0.3">
      <c r="A1" s="1"/>
      <c r="B1" s="2"/>
      <c r="C1" s="2"/>
      <c r="D1" s="2"/>
      <c r="E1" s="2">
        <v>2026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>
        <v>2027</v>
      </c>
      <c r="R1" s="2"/>
      <c r="S1" s="2"/>
      <c r="T1" s="2"/>
      <c r="U1" s="2"/>
      <c r="V1" s="2"/>
      <c r="W1" s="2"/>
      <c r="X1" s="3"/>
      <c r="Y1" s="4"/>
      <c r="Z1" s="4"/>
      <c r="AA1" s="4"/>
      <c r="AB1" s="5"/>
      <c r="AC1" s="4"/>
      <c r="AD1" s="4"/>
      <c r="AE1" s="6"/>
      <c r="AF1" s="6">
        <v>2026</v>
      </c>
      <c r="AG1" s="6"/>
      <c r="AH1" s="6"/>
      <c r="AI1" s="6"/>
      <c r="AJ1" s="6"/>
      <c r="AK1" s="6">
        <v>2027</v>
      </c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>
        <v>2028</v>
      </c>
      <c r="AX1" s="6"/>
      <c r="AY1" s="6"/>
      <c r="AZ1" s="6"/>
      <c r="BA1" s="6"/>
      <c r="BB1" s="6"/>
    </row>
    <row r="2" spans="1:54" ht="15.6" x14ac:dyDescent="0.3">
      <c r="A2" s="7" t="s">
        <v>0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3</v>
      </c>
      <c r="G2" s="8" t="s">
        <v>11</v>
      </c>
      <c r="H2" s="8" t="s">
        <v>12</v>
      </c>
      <c r="I2" s="8" t="s">
        <v>4</v>
      </c>
      <c r="J2" s="8" t="s">
        <v>5</v>
      </c>
      <c r="K2" s="8" t="s">
        <v>13</v>
      </c>
      <c r="L2" s="8" t="s">
        <v>6</v>
      </c>
      <c r="M2" s="8" t="s">
        <v>2</v>
      </c>
      <c r="N2" s="8" t="s">
        <v>7</v>
      </c>
      <c r="O2" s="8" t="s">
        <v>8</v>
      </c>
      <c r="P2" s="8" t="s">
        <v>9</v>
      </c>
      <c r="Q2" s="8" t="s">
        <v>10</v>
      </c>
      <c r="R2" s="8" t="s">
        <v>3</v>
      </c>
      <c r="S2" s="8" t="s">
        <v>11</v>
      </c>
      <c r="T2" s="8" t="s">
        <v>12</v>
      </c>
      <c r="U2" s="8" t="s">
        <v>4</v>
      </c>
      <c r="V2" s="8" t="s">
        <v>5</v>
      </c>
      <c r="W2" s="8" t="s">
        <v>14</v>
      </c>
      <c r="X2" s="9" t="s">
        <v>15</v>
      </c>
      <c r="Y2" s="10" t="s">
        <v>16</v>
      </c>
      <c r="Z2" s="10" t="s">
        <v>17</v>
      </c>
      <c r="AA2" s="10" t="s">
        <v>18</v>
      </c>
      <c r="AB2" s="9" t="s">
        <v>19</v>
      </c>
      <c r="AC2" s="10" t="s">
        <v>20</v>
      </c>
      <c r="AD2" s="10" t="s">
        <v>21</v>
      </c>
      <c r="AE2" s="11" t="s">
        <v>361</v>
      </c>
      <c r="AF2" s="11" t="s">
        <v>6</v>
      </c>
      <c r="AG2" s="11" t="s">
        <v>22</v>
      </c>
      <c r="AH2" s="11" t="s">
        <v>7</v>
      </c>
      <c r="AI2" s="11" t="s">
        <v>8</v>
      </c>
      <c r="AJ2" s="11" t="s">
        <v>9</v>
      </c>
      <c r="AK2" s="11" t="s">
        <v>10</v>
      </c>
      <c r="AL2" s="11" t="s">
        <v>3</v>
      </c>
      <c r="AM2" s="11" t="s">
        <v>11</v>
      </c>
      <c r="AN2" s="11" t="s">
        <v>12</v>
      </c>
      <c r="AO2" s="11" t="s">
        <v>4</v>
      </c>
      <c r="AP2" s="11" t="s">
        <v>5</v>
      </c>
      <c r="AQ2" s="11" t="s">
        <v>13</v>
      </c>
      <c r="AR2" s="11" t="s">
        <v>6</v>
      </c>
      <c r="AS2" s="11" t="s">
        <v>22</v>
      </c>
      <c r="AT2" s="11" t="s">
        <v>7</v>
      </c>
      <c r="AU2" s="11" t="s">
        <v>8</v>
      </c>
      <c r="AV2" s="11" t="s">
        <v>9</v>
      </c>
      <c r="AW2" s="11" t="s">
        <v>10</v>
      </c>
      <c r="AX2" s="11" t="s">
        <v>3</v>
      </c>
      <c r="AY2" s="11" t="s">
        <v>11</v>
      </c>
      <c r="AZ2" s="11" t="s">
        <v>6</v>
      </c>
      <c r="BA2" s="11" t="s">
        <v>7</v>
      </c>
      <c r="BB2" s="11" t="s">
        <v>23</v>
      </c>
    </row>
    <row r="3" spans="1:54" x14ac:dyDescent="0.3">
      <c r="A3" s="17" t="s">
        <v>24</v>
      </c>
      <c r="B3" s="18"/>
      <c r="C3" s="18"/>
      <c r="D3" s="18">
        <v>1</v>
      </c>
      <c r="E3" s="18">
        <v>1</v>
      </c>
      <c r="F3" s="18">
        <v>2</v>
      </c>
      <c r="G3" s="18"/>
      <c r="H3" s="18">
        <v>3</v>
      </c>
      <c r="I3" s="18">
        <v>2</v>
      </c>
      <c r="J3" s="18">
        <v>3</v>
      </c>
      <c r="K3" s="18">
        <v>3</v>
      </c>
      <c r="L3" s="19">
        <v>2</v>
      </c>
      <c r="M3" s="18">
        <v>2</v>
      </c>
      <c r="N3" s="18">
        <v>1</v>
      </c>
      <c r="O3" s="18">
        <v>3</v>
      </c>
      <c r="P3" s="18">
        <v>2</v>
      </c>
      <c r="Q3" s="18">
        <v>2</v>
      </c>
      <c r="R3" s="18">
        <v>2</v>
      </c>
      <c r="S3" s="18">
        <v>1</v>
      </c>
      <c r="T3" s="18"/>
      <c r="U3" s="18"/>
      <c r="V3" s="18">
        <v>2</v>
      </c>
      <c r="W3" s="18">
        <f t="shared" ref="W3:W66" si="0">SUM(B3:V3)</f>
        <v>32</v>
      </c>
      <c r="X3" s="16">
        <v>2340</v>
      </c>
      <c r="Y3" s="12">
        <v>0</v>
      </c>
      <c r="Z3" s="12">
        <v>0</v>
      </c>
      <c r="AA3" s="13">
        <v>2</v>
      </c>
      <c r="AB3" s="14">
        <v>201639813</v>
      </c>
      <c r="AC3" s="14" t="s">
        <v>26</v>
      </c>
      <c r="AD3" s="15"/>
      <c r="AE3" s="18"/>
      <c r="AF3" s="19"/>
      <c r="AG3" s="18">
        <v>3</v>
      </c>
      <c r="AH3" s="18"/>
      <c r="AI3" s="18">
        <v>12</v>
      </c>
      <c r="AJ3" s="18"/>
      <c r="AK3" s="18"/>
      <c r="AL3" s="18"/>
      <c r="AM3" s="18"/>
      <c r="AN3" s="18"/>
      <c r="AO3" s="18">
        <v>3</v>
      </c>
      <c r="AP3" s="18">
        <v>12</v>
      </c>
      <c r="AQ3" s="18"/>
      <c r="AR3" s="18"/>
      <c r="AS3" s="18"/>
      <c r="AT3" s="18"/>
      <c r="AU3" s="18"/>
      <c r="AV3" s="18"/>
      <c r="AW3" s="18">
        <v>2</v>
      </c>
      <c r="AX3" s="18"/>
      <c r="AY3" s="18"/>
      <c r="AZ3" s="18"/>
      <c r="BA3" s="18"/>
      <c r="BB3" s="18">
        <f t="shared" ref="BB3:BB66" si="1">SUM(AE3:BA3)</f>
        <v>32</v>
      </c>
    </row>
    <row r="4" spans="1:54" x14ac:dyDescent="0.3">
      <c r="A4" s="17" t="s">
        <v>27</v>
      </c>
      <c r="B4" s="18"/>
      <c r="C4" s="18"/>
      <c r="D4" s="18"/>
      <c r="E4" s="18"/>
      <c r="F4" s="18"/>
      <c r="G4" s="18"/>
      <c r="H4" s="18">
        <v>2</v>
      </c>
      <c r="I4" s="18"/>
      <c r="J4" s="18"/>
      <c r="K4" s="18"/>
      <c r="L4" s="19"/>
      <c r="M4" s="18"/>
      <c r="N4" s="18"/>
      <c r="O4" s="18"/>
      <c r="P4" s="18"/>
      <c r="Q4" s="18"/>
      <c r="R4" s="18"/>
      <c r="S4" s="18"/>
      <c r="T4" s="18"/>
      <c r="U4" s="18"/>
      <c r="V4" s="18"/>
      <c r="W4" s="18">
        <f t="shared" si="0"/>
        <v>2</v>
      </c>
      <c r="X4" s="16">
        <v>2341</v>
      </c>
      <c r="Y4" s="12">
        <v>0</v>
      </c>
      <c r="Z4" s="12">
        <v>0</v>
      </c>
      <c r="AA4" s="13">
        <v>1</v>
      </c>
      <c r="AB4" s="14" t="e">
        <v>#N/A</v>
      </c>
      <c r="AC4" s="14" t="e">
        <v>#N/A</v>
      </c>
      <c r="AD4" s="15"/>
      <c r="AE4" s="18"/>
      <c r="AF4" s="19"/>
      <c r="AG4" s="18"/>
      <c r="AH4" s="18">
        <v>2</v>
      </c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>
        <f t="shared" si="1"/>
        <v>2</v>
      </c>
    </row>
    <row r="5" spans="1:54" x14ac:dyDescent="0.3">
      <c r="A5" s="17" t="s">
        <v>28</v>
      </c>
      <c r="B5" s="18"/>
      <c r="C5" s="18"/>
      <c r="D5" s="18"/>
      <c r="E5" s="18"/>
      <c r="F5" s="18">
        <v>3</v>
      </c>
      <c r="G5" s="18">
        <v>6</v>
      </c>
      <c r="H5" s="18">
        <v>6</v>
      </c>
      <c r="I5" s="18">
        <v>6</v>
      </c>
      <c r="J5" s="18">
        <v>4</v>
      </c>
      <c r="K5" s="18">
        <v>6</v>
      </c>
      <c r="L5" s="19">
        <v>4</v>
      </c>
      <c r="M5" s="18">
        <v>2</v>
      </c>
      <c r="N5" s="18">
        <v>4</v>
      </c>
      <c r="O5" s="18">
        <v>4</v>
      </c>
      <c r="P5" s="18">
        <v>4</v>
      </c>
      <c r="Q5" s="18">
        <v>6</v>
      </c>
      <c r="R5" s="18">
        <v>4</v>
      </c>
      <c r="S5" s="18">
        <v>4</v>
      </c>
      <c r="T5" s="18">
        <v>2</v>
      </c>
      <c r="U5" s="18">
        <v>4</v>
      </c>
      <c r="V5" s="18">
        <v>4</v>
      </c>
      <c r="W5" s="18">
        <f t="shared" si="0"/>
        <v>73</v>
      </c>
      <c r="X5" s="16">
        <v>2340</v>
      </c>
      <c r="Y5" s="12">
        <v>0</v>
      </c>
      <c r="Z5" s="12">
        <v>0</v>
      </c>
      <c r="AA5" s="13">
        <v>2</v>
      </c>
      <c r="AB5" s="14" t="e">
        <v>#N/A</v>
      </c>
      <c r="AC5" s="14" t="e">
        <v>#N/A</v>
      </c>
      <c r="AD5" s="15"/>
      <c r="AE5" s="18"/>
      <c r="AF5" s="19"/>
      <c r="AG5" s="18">
        <v>15</v>
      </c>
      <c r="AH5" s="18">
        <v>18</v>
      </c>
      <c r="AI5" s="18"/>
      <c r="AJ5" s="18"/>
      <c r="AK5" s="18"/>
      <c r="AL5" s="18">
        <v>24</v>
      </c>
      <c r="AM5" s="18"/>
      <c r="AN5" s="18"/>
      <c r="AO5" s="18"/>
      <c r="AP5" s="18"/>
      <c r="AQ5" s="18"/>
      <c r="AR5" s="18">
        <v>16</v>
      </c>
      <c r="AS5" s="18"/>
      <c r="AT5" s="18"/>
      <c r="AU5" s="18"/>
      <c r="AV5" s="18"/>
      <c r="AW5" s="18"/>
      <c r="AX5" s="18"/>
      <c r="AY5" s="18"/>
      <c r="AZ5" s="18"/>
      <c r="BA5" s="18"/>
      <c r="BB5" s="18">
        <f t="shared" si="1"/>
        <v>73</v>
      </c>
    </row>
    <row r="6" spans="1:54" x14ac:dyDescent="0.3">
      <c r="A6" s="17" t="s">
        <v>30</v>
      </c>
      <c r="B6" s="18"/>
      <c r="C6" s="18"/>
      <c r="D6" s="18"/>
      <c r="E6" s="18"/>
      <c r="F6" s="18"/>
      <c r="G6" s="18">
        <v>1</v>
      </c>
      <c r="H6" s="18">
        <v>1</v>
      </c>
      <c r="I6" s="18">
        <v>4</v>
      </c>
      <c r="J6" s="18">
        <v>4</v>
      </c>
      <c r="K6" s="18">
        <v>2</v>
      </c>
      <c r="L6" s="19">
        <v>1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>
        <f t="shared" si="0"/>
        <v>13</v>
      </c>
      <c r="X6" s="16">
        <v>2340</v>
      </c>
      <c r="Y6" s="12">
        <v>0</v>
      </c>
      <c r="Z6" s="12">
        <v>0</v>
      </c>
      <c r="AA6" s="13">
        <v>1</v>
      </c>
      <c r="AB6" s="14" t="e">
        <v>#N/A</v>
      </c>
      <c r="AC6" s="14" t="e">
        <v>#N/A</v>
      </c>
      <c r="AD6" s="15"/>
      <c r="AE6" s="18"/>
      <c r="AF6" s="19"/>
      <c r="AG6" s="18">
        <v>13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>
        <f t="shared" si="1"/>
        <v>13</v>
      </c>
    </row>
    <row r="7" spans="1:54" x14ac:dyDescent="0.3">
      <c r="A7" s="17" t="s">
        <v>31</v>
      </c>
      <c r="B7" s="18"/>
      <c r="C7" s="18"/>
      <c r="D7" s="18"/>
      <c r="E7" s="18"/>
      <c r="F7" s="18">
        <v>1</v>
      </c>
      <c r="G7" s="18">
        <v>1</v>
      </c>
      <c r="H7" s="18"/>
      <c r="I7" s="18"/>
      <c r="J7" s="18"/>
      <c r="K7" s="18"/>
      <c r="L7" s="19"/>
      <c r="M7" s="18"/>
      <c r="N7" s="18"/>
      <c r="O7" s="18"/>
      <c r="P7" s="18"/>
      <c r="Q7" s="18"/>
      <c r="R7" s="18"/>
      <c r="S7" s="18"/>
      <c r="T7" s="18"/>
      <c r="U7" s="18"/>
      <c r="V7" s="18"/>
      <c r="W7" s="18">
        <f t="shared" si="0"/>
        <v>2</v>
      </c>
      <c r="X7" s="16">
        <v>2341</v>
      </c>
      <c r="Y7" s="12">
        <v>0</v>
      </c>
      <c r="Z7" s="12">
        <v>0</v>
      </c>
      <c r="AA7" s="13">
        <v>1</v>
      </c>
      <c r="AB7" s="14" t="e">
        <v>#N/A</v>
      </c>
      <c r="AC7" s="14" t="e">
        <v>#N/A</v>
      </c>
      <c r="AD7" s="15"/>
      <c r="AE7" s="18"/>
      <c r="AF7" s="19">
        <v>1</v>
      </c>
      <c r="AG7" s="18">
        <v>1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>
        <f t="shared" si="1"/>
        <v>2</v>
      </c>
    </row>
    <row r="8" spans="1:54" x14ac:dyDescent="0.3">
      <c r="A8" s="17" t="s">
        <v>33</v>
      </c>
      <c r="B8" s="18"/>
      <c r="C8" s="18"/>
      <c r="D8" s="18"/>
      <c r="E8" s="18"/>
      <c r="F8" s="18">
        <v>2</v>
      </c>
      <c r="G8" s="18"/>
      <c r="H8" s="18"/>
      <c r="I8" s="18"/>
      <c r="J8" s="18"/>
      <c r="K8" s="18"/>
      <c r="L8" s="19"/>
      <c r="M8" s="18"/>
      <c r="N8" s="18"/>
      <c r="O8" s="18"/>
      <c r="P8" s="18"/>
      <c r="Q8" s="18"/>
      <c r="R8" s="18"/>
      <c r="S8" s="18"/>
      <c r="T8" s="18"/>
      <c r="U8" s="18"/>
      <c r="V8" s="18"/>
      <c r="W8" s="18">
        <f t="shared" si="0"/>
        <v>2</v>
      </c>
      <c r="X8" s="16">
        <v>2341</v>
      </c>
      <c r="Y8" s="12">
        <v>0</v>
      </c>
      <c r="Z8" s="12">
        <v>0</v>
      </c>
      <c r="AA8" s="13">
        <v>1</v>
      </c>
      <c r="AB8" s="14" t="e">
        <v>#N/A</v>
      </c>
      <c r="AC8" s="14" t="e">
        <v>#N/A</v>
      </c>
      <c r="AD8" s="15"/>
      <c r="AE8" s="18"/>
      <c r="AF8" s="19">
        <v>2</v>
      </c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>
        <f t="shared" si="1"/>
        <v>2</v>
      </c>
    </row>
    <row r="9" spans="1:54" x14ac:dyDescent="0.3">
      <c r="A9" s="17" t="s">
        <v>35</v>
      </c>
      <c r="B9" s="18"/>
      <c r="C9" s="18"/>
      <c r="D9" s="18"/>
      <c r="E9" s="18"/>
      <c r="F9" s="18"/>
      <c r="G9" s="18">
        <v>2</v>
      </c>
      <c r="H9" s="18"/>
      <c r="I9" s="18">
        <v>3</v>
      </c>
      <c r="J9" s="18">
        <v>2</v>
      </c>
      <c r="K9" s="18">
        <v>3</v>
      </c>
      <c r="L9" s="19">
        <v>2</v>
      </c>
      <c r="M9" s="18">
        <v>2</v>
      </c>
      <c r="N9" s="18">
        <v>2</v>
      </c>
      <c r="O9" s="18">
        <v>2</v>
      </c>
      <c r="P9" s="18">
        <v>2</v>
      </c>
      <c r="Q9" s="18">
        <v>2</v>
      </c>
      <c r="R9" s="18">
        <v>2</v>
      </c>
      <c r="S9" s="18">
        <v>3</v>
      </c>
      <c r="T9" s="18">
        <v>1</v>
      </c>
      <c r="U9" s="18">
        <v>2</v>
      </c>
      <c r="V9" s="18">
        <v>2</v>
      </c>
      <c r="W9" s="18">
        <f t="shared" si="0"/>
        <v>32</v>
      </c>
      <c r="X9" s="16">
        <v>2341</v>
      </c>
      <c r="Y9" s="12">
        <v>1</v>
      </c>
      <c r="Z9" s="12">
        <v>0</v>
      </c>
      <c r="AA9" s="13">
        <v>1</v>
      </c>
      <c r="AB9" s="14">
        <v>201632894</v>
      </c>
      <c r="AC9" s="14" t="s">
        <v>26</v>
      </c>
      <c r="AD9" s="15"/>
      <c r="AE9" s="18"/>
      <c r="AF9" s="19"/>
      <c r="AG9" s="18">
        <v>9</v>
      </c>
      <c r="AH9" s="18"/>
      <c r="AI9" s="18"/>
      <c r="AJ9" s="18">
        <v>2</v>
      </c>
      <c r="AK9" s="18">
        <v>12</v>
      </c>
      <c r="AL9" s="18"/>
      <c r="AM9" s="18"/>
      <c r="AN9" s="18"/>
      <c r="AO9" s="18"/>
      <c r="AP9" s="18"/>
      <c r="AQ9" s="18">
        <v>9</v>
      </c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>
        <f t="shared" si="1"/>
        <v>32</v>
      </c>
    </row>
    <row r="10" spans="1:54" x14ac:dyDescent="0.3">
      <c r="A10" s="17" t="s">
        <v>37</v>
      </c>
      <c r="B10" s="18"/>
      <c r="C10" s="18"/>
      <c r="D10" s="18"/>
      <c r="E10" s="18"/>
      <c r="F10" s="18"/>
      <c r="G10" s="18"/>
      <c r="H10" s="18"/>
      <c r="I10" s="18">
        <v>2</v>
      </c>
      <c r="J10" s="18"/>
      <c r="K10" s="18"/>
      <c r="L10" s="19"/>
      <c r="M10" s="18"/>
      <c r="N10" s="18"/>
      <c r="O10" s="18"/>
      <c r="P10" s="18"/>
      <c r="Q10" s="18">
        <v>1</v>
      </c>
      <c r="R10" s="18">
        <v>2</v>
      </c>
      <c r="S10" s="18">
        <v>2</v>
      </c>
      <c r="T10" s="18">
        <v>2</v>
      </c>
      <c r="U10" s="18">
        <v>2</v>
      </c>
      <c r="V10" s="18">
        <v>2</v>
      </c>
      <c r="W10" s="18">
        <f t="shared" si="0"/>
        <v>13</v>
      </c>
      <c r="X10" s="16">
        <v>2341</v>
      </c>
      <c r="Y10" s="12">
        <v>16</v>
      </c>
      <c r="Z10" s="12">
        <v>0</v>
      </c>
      <c r="AA10" s="13">
        <v>1</v>
      </c>
      <c r="AB10" s="14" t="e">
        <v>#N/A</v>
      </c>
      <c r="AC10" s="14" t="e">
        <v>#N/A</v>
      </c>
      <c r="AD10" s="15"/>
      <c r="AE10" s="18"/>
      <c r="AF10" s="19"/>
      <c r="AG10" s="18"/>
      <c r="AH10" s="18"/>
      <c r="AI10" s="18"/>
      <c r="AJ10" s="18"/>
      <c r="AK10" s="18">
        <v>2</v>
      </c>
      <c r="AL10" s="18">
        <v>6</v>
      </c>
      <c r="AM10" s="18"/>
      <c r="AN10" s="18"/>
      <c r="AO10" s="18">
        <v>5</v>
      </c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>
        <f t="shared" si="1"/>
        <v>13</v>
      </c>
    </row>
    <row r="11" spans="1:54" x14ac:dyDescent="0.3">
      <c r="A11" s="17" t="s">
        <v>38</v>
      </c>
      <c r="B11" s="18">
        <v>2</v>
      </c>
      <c r="C11" s="18"/>
      <c r="D11" s="18"/>
      <c r="E11" s="18"/>
      <c r="F11" s="18"/>
      <c r="G11" s="18">
        <v>5</v>
      </c>
      <c r="H11" s="18">
        <v>6</v>
      </c>
      <c r="I11" s="18">
        <v>6</v>
      </c>
      <c r="J11" s="18">
        <v>4</v>
      </c>
      <c r="K11" s="18">
        <v>6</v>
      </c>
      <c r="L11" s="19">
        <v>4</v>
      </c>
      <c r="M11" s="18">
        <v>2</v>
      </c>
      <c r="N11" s="18">
        <v>4</v>
      </c>
      <c r="O11" s="18">
        <v>4</v>
      </c>
      <c r="P11" s="18">
        <v>4</v>
      </c>
      <c r="Q11" s="18">
        <v>6</v>
      </c>
      <c r="R11" s="18">
        <v>4</v>
      </c>
      <c r="S11" s="18"/>
      <c r="T11" s="18"/>
      <c r="U11" s="18"/>
      <c r="V11" s="18">
        <v>4</v>
      </c>
      <c r="W11" s="18">
        <f t="shared" si="0"/>
        <v>61</v>
      </c>
      <c r="X11" s="16">
        <v>2342</v>
      </c>
      <c r="Y11" s="12">
        <v>0</v>
      </c>
      <c r="Z11" s="12">
        <v>0</v>
      </c>
      <c r="AA11" s="13">
        <v>2</v>
      </c>
      <c r="AB11" s="14" t="e">
        <v>#N/A</v>
      </c>
      <c r="AC11" s="14" t="e">
        <v>#N/A</v>
      </c>
      <c r="AD11" s="15"/>
      <c r="AE11" s="18"/>
      <c r="AF11" s="19"/>
      <c r="AG11" s="18">
        <v>21</v>
      </c>
      <c r="AH11" s="18"/>
      <c r="AI11" s="18"/>
      <c r="AJ11" s="18"/>
      <c r="AK11" s="18">
        <v>12</v>
      </c>
      <c r="AL11" s="18"/>
      <c r="AM11" s="18">
        <v>24</v>
      </c>
      <c r="AN11" s="18"/>
      <c r="AO11" s="18"/>
      <c r="AP11" s="18"/>
      <c r="AQ11" s="18"/>
      <c r="AR11" s="18"/>
      <c r="AS11" s="18"/>
      <c r="AT11" s="18">
        <v>4</v>
      </c>
      <c r="AU11" s="18"/>
      <c r="AV11" s="18"/>
      <c r="AW11" s="18"/>
      <c r="AX11" s="18"/>
      <c r="AY11" s="18"/>
      <c r="AZ11" s="18"/>
      <c r="BA11" s="18"/>
      <c r="BB11" s="18">
        <f t="shared" si="1"/>
        <v>61</v>
      </c>
    </row>
    <row r="12" spans="1:54" x14ac:dyDescent="0.3">
      <c r="A12" s="17" t="s">
        <v>40</v>
      </c>
      <c r="B12" s="18"/>
      <c r="C12" s="18"/>
      <c r="D12" s="18"/>
      <c r="E12" s="18"/>
      <c r="F12" s="18"/>
      <c r="G12" s="18">
        <v>1</v>
      </c>
      <c r="H12" s="18"/>
      <c r="I12" s="18"/>
      <c r="J12" s="18"/>
      <c r="K12" s="18"/>
      <c r="L12" s="19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>
        <f t="shared" si="0"/>
        <v>1</v>
      </c>
      <c r="X12" s="16">
        <v>2342</v>
      </c>
      <c r="Y12" s="12">
        <v>0</v>
      </c>
      <c r="Z12" s="12">
        <v>0</v>
      </c>
      <c r="AA12" s="13">
        <v>1</v>
      </c>
      <c r="AB12" s="14" t="e">
        <v>#N/A</v>
      </c>
      <c r="AC12" s="14" t="e">
        <v>#N/A</v>
      </c>
      <c r="AD12" s="15"/>
      <c r="AE12" s="18"/>
      <c r="AF12" s="19"/>
      <c r="AG12" s="18">
        <v>1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>
        <f t="shared" si="1"/>
        <v>1</v>
      </c>
    </row>
    <row r="13" spans="1:54" x14ac:dyDescent="0.3">
      <c r="A13" s="17" t="s">
        <v>42</v>
      </c>
      <c r="B13" s="18"/>
      <c r="C13" s="18"/>
      <c r="D13" s="18"/>
      <c r="E13" s="18">
        <v>6</v>
      </c>
      <c r="F13" s="18"/>
      <c r="G13" s="18">
        <v>4</v>
      </c>
      <c r="H13" s="18">
        <v>4</v>
      </c>
      <c r="I13" s="18"/>
      <c r="J13" s="18"/>
      <c r="K13" s="18"/>
      <c r="L13" s="19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>
        <f t="shared" si="0"/>
        <v>14</v>
      </c>
      <c r="X13" s="16">
        <v>2342</v>
      </c>
      <c r="Y13" s="12">
        <v>0</v>
      </c>
      <c r="Z13" s="12">
        <v>0</v>
      </c>
      <c r="AA13" s="13">
        <v>4</v>
      </c>
      <c r="AB13" s="14" t="e">
        <v>#N/A</v>
      </c>
      <c r="AC13" s="14" t="e">
        <v>#N/A</v>
      </c>
      <c r="AD13" s="15"/>
      <c r="AE13" s="18">
        <v>2</v>
      </c>
      <c r="AF13" s="19">
        <v>4</v>
      </c>
      <c r="AG13" s="18">
        <v>8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>
        <f t="shared" si="1"/>
        <v>14</v>
      </c>
    </row>
    <row r="14" spans="1:54" x14ac:dyDescent="0.3">
      <c r="A14" s="17" t="s">
        <v>44</v>
      </c>
      <c r="B14" s="18"/>
      <c r="C14" s="18"/>
      <c r="D14" s="18"/>
      <c r="E14" s="18"/>
      <c r="F14" s="18"/>
      <c r="G14" s="18">
        <v>30</v>
      </c>
      <c r="H14" s="18"/>
      <c r="I14" s="18">
        <v>8</v>
      </c>
      <c r="J14" s="18"/>
      <c r="K14" s="18"/>
      <c r="L14" s="19"/>
      <c r="M14" s="18"/>
      <c r="N14" s="18">
        <v>8</v>
      </c>
      <c r="O14" s="18">
        <v>16</v>
      </c>
      <c r="P14" s="18">
        <v>16</v>
      </c>
      <c r="Q14" s="18">
        <v>16</v>
      </c>
      <c r="R14" s="18">
        <v>16</v>
      </c>
      <c r="S14" s="18">
        <v>24</v>
      </c>
      <c r="T14" s="18">
        <v>8</v>
      </c>
      <c r="U14" s="18">
        <v>16</v>
      </c>
      <c r="V14" s="18">
        <v>16</v>
      </c>
      <c r="W14" s="18">
        <f t="shared" si="0"/>
        <v>174</v>
      </c>
      <c r="X14" s="16">
        <v>2342</v>
      </c>
      <c r="Y14" s="12">
        <v>64</v>
      </c>
      <c r="Z14" s="12">
        <v>0</v>
      </c>
      <c r="AA14" s="13">
        <v>8</v>
      </c>
      <c r="AB14" s="14" t="e">
        <v>#N/A</v>
      </c>
      <c r="AC14" s="14" t="e">
        <v>#N/A</v>
      </c>
      <c r="AD14" s="15"/>
      <c r="AE14" s="18"/>
      <c r="AF14" s="19"/>
      <c r="AG14" s="18">
        <v>38</v>
      </c>
      <c r="AH14" s="18"/>
      <c r="AI14" s="18"/>
      <c r="AJ14" s="18"/>
      <c r="AK14" s="18"/>
      <c r="AL14" s="18"/>
      <c r="AM14" s="18">
        <v>136</v>
      </c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>
        <f t="shared" si="1"/>
        <v>174</v>
      </c>
    </row>
    <row r="15" spans="1:54" x14ac:dyDescent="0.3">
      <c r="A15" s="17" t="s">
        <v>46</v>
      </c>
      <c r="B15" s="18"/>
      <c r="C15" s="18"/>
      <c r="D15" s="18"/>
      <c r="E15" s="18"/>
      <c r="F15" s="18"/>
      <c r="G15" s="18">
        <v>1</v>
      </c>
      <c r="H15" s="18">
        <v>3</v>
      </c>
      <c r="I15" s="18">
        <v>3</v>
      </c>
      <c r="J15" s="18">
        <v>2</v>
      </c>
      <c r="K15" s="18">
        <v>3</v>
      </c>
      <c r="L15" s="19">
        <v>2</v>
      </c>
      <c r="M15" s="18">
        <v>2</v>
      </c>
      <c r="N15" s="18">
        <v>1</v>
      </c>
      <c r="O15" s="18">
        <v>3</v>
      </c>
      <c r="P15" s="18">
        <v>2</v>
      </c>
      <c r="Q15" s="18">
        <v>2</v>
      </c>
      <c r="R15" s="18">
        <v>2</v>
      </c>
      <c r="S15" s="18">
        <v>1</v>
      </c>
      <c r="T15" s="18"/>
      <c r="U15" s="18"/>
      <c r="V15" s="18">
        <v>2</v>
      </c>
      <c r="W15" s="18">
        <f t="shared" si="0"/>
        <v>29</v>
      </c>
      <c r="X15" s="16">
        <v>2342</v>
      </c>
      <c r="Y15" s="12">
        <v>0</v>
      </c>
      <c r="Z15" s="12">
        <v>0</v>
      </c>
      <c r="AA15" s="13">
        <v>1</v>
      </c>
      <c r="AB15" s="14">
        <v>201580141</v>
      </c>
      <c r="AC15" s="14">
        <v>45</v>
      </c>
      <c r="AD15" s="15"/>
      <c r="AE15" s="18"/>
      <c r="AF15" s="19"/>
      <c r="AG15" s="18">
        <v>2</v>
      </c>
      <c r="AH15" s="18"/>
      <c r="AI15" s="18"/>
      <c r="AJ15" s="18"/>
      <c r="AK15" s="18">
        <v>13</v>
      </c>
      <c r="AL15" s="18"/>
      <c r="AM15" s="18"/>
      <c r="AN15" s="18"/>
      <c r="AO15" s="18"/>
      <c r="AP15" s="18"/>
      <c r="AQ15" s="18">
        <v>12</v>
      </c>
      <c r="AR15" s="18"/>
      <c r="AS15" s="18"/>
      <c r="AT15" s="18"/>
      <c r="AU15" s="18"/>
      <c r="AV15" s="18"/>
      <c r="AW15" s="18">
        <v>2</v>
      </c>
      <c r="AX15" s="18"/>
      <c r="AY15" s="18"/>
      <c r="AZ15" s="18"/>
      <c r="BA15" s="18"/>
      <c r="BB15" s="18">
        <f t="shared" si="1"/>
        <v>29</v>
      </c>
    </row>
    <row r="16" spans="1:54" x14ac:dyDescent="0.3">
      <c r="A16" s="17" t="s">
        <v>48</v>
      </c>
      <c r="B16" s="18"/>
      <c r="C16" s="18"/>
      <c r="D16" s="18"/>
      <c r="E16" s="18"/>
      <c r="F16" s="18"/>
      <c r="G16" s="18"/>
      <c r="H16" s="18"/>
      <c r="I16" s="18">
        <v>2</v>
      </c>
      <c r="J16" s="18"/>
      <c r="K16" s="18"/>
      <c r="L16" s="19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>
        <f t="shared" si="0"/>
        <v>2</v>
      </c>
      <c r="X16" s="16">
        <v>3005</v>
      </c>
      <c r="Y16" s="12">
        <v>2</v>
      </c>
      <c r="Z16" s="12">
        <v>0</v>
      </c>
      <c r="AA16" s="13">
        <v>1</v>
      </c>
      <c r="AB16" s="14" t="e">
        <v>#N/A</v>
      </c>
      <c r="AC16" s="14" t="e">
        <v>#N/A</v>
      </c>
      <c r="AD16" s="15"/>
      <c r="AE16" s="18">
        <v>2</v>
      </c>
      <c r="AF16" s="19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>
        <f t="shared" si="1"/>
        <v>2</v>
      </c>
    </row>
    <row r="17" spans="1:54" x14ac:dyDescent="0.3">
      <c r="A17" s="17" t="s">
        <v>49</v>
      </c>
      <c r="B17" s="18"/>
      <c r="C17" s="18"/>
      <c r="D17" s="18"/>
      <c r="E17" s="18"/>
      <c r="F17" s="18"/>
      <c r="G17" s="18"/>
      <c r="H17" s="18">
        <v>2</v>
      </c>
      <c r="I17" s="18">
        <v>2</v>
      </c>
      <c r="J17" s="18">
        <v>3</v>
      </c>
      <c r="K17" s="18">
        <v>3</v>
      </c>
      <c r="L17" s="19">
        <v>2</v>
      </c>
      <c r="M17" s="18">
        <v>1</v>
      </c>
      <c r="N17" s="18">
        <v>3</v>
      </c>
      <c r="O17" s="18">
        <v>2</v>
      </c>
      <c r="P17" s="18">
        <v>2</v>
      </c>
      <c r="Q17" s="18">
        <v>2</v>
      </c>
      <c r="R17" s="18">
        <v>2</v>
      </c>
      <c r="S17" s="18">
        <v>2</v>
      </c>
      <c r="T17" s="18">
        <v>2</v>
      </c>
      <c r="U17" s="18">
        <v>1</v>
      </c>
      <c r="V17" s="18"/>
      <c r="W17" s="18">
        <f t="shared" si="0"/>
        <v>29</v>
      </c>
      <c r="X17" s="16">
        <v>3005</v>
      </c>
      <c r="Y17" s="12">
        <v>0</v>
      </c>
      <c r="Z17" s="12">
        <v>0</v>
      </c>
      <c r="AA17" s="13">
        <v>1</v>
      </c>
      <c r="AB17" s="14" t="e">
        <v>#N/A</v>
      </c>
      <c r="AC17" s="14" t="e">
        <v>#N/A</v>
      </c>
      <c r="AD17" s="15"/>
      <c r="AE17" s="18"/>
      <c r="AF17" s="19"/>
      <c r="AG17" s="18"/>
      <c r="AH17" s="18"/>
      <c r="AI17" s="18"/>
      <c r="AJ17" s="18">
        <v>5</v>
      </c>
      <c r="AK17" s="18"/>
      <c r="AL17" s="18"/>
      <c r="AM17" s="18">
        <v>12</v>
      </c>
      <c r="AN17" s="18"/>
      <c r="AO17" s="18"/>
      <c r="AP17" s="18"/>
      <c r="AQ17" s="18"/>
      <c r="AR17" s="18"/>
      <c r="AS17" s="18">
        <v>12</v>
      </c>
      <c r="AT17" s="18"/>
      <c r="AU17" s="18"/>
      <c r="AV17" s="18"/>
      <c r="AW17" s="18"/>
      <c r="AX17" s="18"/>
      <c r="AY17" s="18"/>
      <c r="AZ17" s="18"/>
      <c r="BA17" s="18"/>
      <c r="BB17" s="18">
        <f t="shared" si="1"/>
        <v>29</v>
      </c>
    </row>
    <row r="18" spans="1:54" x14ac:dyDescent="0.3">
      <c r="A18" s="17" t="s">
        <v>51</v>
      </c>
      <c r="B18" s="18"/>
      <c r="C18" s="18"/>
      <c r="D18" s="18"/>
      <c r="E18" s="18"/>
      <c r="F18" s="18"/>
      <c r="G18" s="18"/>
      <c r="H18" s="18"/>
      <c r="I18" s="18">
        <v>2</v>
      </c>
      <c r="J18" s="18"/>
      <c r="K18" s="18"/>
      <c r="L18" s="19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>
        <f t="shared" si="0"/>
        <v>2</v>
      </c>
      <c r="X18" s="16">
        <v>3005</v>
      </c>
      <c r="Y18" s="12">
        <v>2</v>
      </c>
      <c r="Z18" s="12">
        <v>0</v>
      </c>
      <c r="AA18" s="13">
        <v>1</v>
      </c>
      <c r="AB18" s="14" t="e">
        <v>#N/A</v>
      </c>
      <c r="AC18" s="14" t="e">
        <v>#N/A</v>
      </c>
      <c r="AD18" s="15"/>
      <c r="AE18" s="18">
        <v>2</v>
      </c>
      <c r="AF18" s="19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>
        <f t="shared" si="1"/>
        <v>2</v>
      </c>
    </row>
    <row r="19" spans="1:54" x14ac:dyDescent="0.3">
      <c r="A19" s="17" t="s">
        <v>52</v>
      </c>
      <c r="B19" s="18"/>
      <c r="C19" s="18"/>
      <c r="D19" s="18"/>
      <c r="E19" s="18"/>
      <c r="F19" s="18"/>
      <c r="G19" s="18"/>
      <c r="H19" s="18"/>
      <c r="I19" s="18"/>
      <c r="J19" s="18">
        <v>1</v>
      </c>
      <c r="K19" s="18"/>
      <c r="L19" s="19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>
        <f t="shared" si="0"/>
        <v>1</v>
      </c>
      <c r="X19" s="16">
        <v>3005</v>
      </c>
      <c r="Y19" s="12">
        <v>2</v>
      </c>
      <c r="Z19" s="12">
        <v>0</v>
      </c>
      <c r="AA19" s="13">
        <v>1</v>
      </c>
      <c r="AB19" s="14" t="e">
        <v>#N/A</v>
      </c>
      <c r="AC19" s="14" t="e">
        <v>#N/A</v>
      </c>
      <c r="AD19" s="15"/>
      <c r="AE19" s="18">
        <v>1</v>
      </c>
      <c r="AF19" s="19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>
        <f t="shared" si="1"/>
        <v>1</v>
      </c>
    </row>
    <row r="20" spans="1:54" x14ac:dyDescent="0.3">
      <c r="A20" s="17" t="s">
        <v>54</v>
      </c>
      <c r="B20" s="18"/>
      <c r="C20" s="18"/>
      <c r="D20" s="18"/>
      <c r="E20" s="18"/>
      <c r="F20" s="18"/>
      <c r="G20" s="18">
        <v>1</v>
      </c>
      <c r="H20" s="18">
        <v>2</v>
      </c>
      <c r="I20" s="18">
        <v>3</v>
      </c>
      <c r="J20" s="18">
        <v>2</v>
      </c>
      <c r="K20" s="18">
        <v>3</v>
      </c>
      <c r="L20" s="19">
        <v>2</v>
      </c>
      <c r="M20" s="18">
        <v>1</v>
      </c>
      <c r="N20" s="18">
        <v>2</v>
      </c>
      <c r="O20" s="18">
        <v>2</v>
      </c>
      <c r="P20" s="18">
        <v>2</v>
      </c>
      <c r="Q20" s="18">
        <v>3</v>
      </c>
      <c r="R20" s="18">
        <v>2</v>
      </c>
      <c r="S20" s="18">
        <v>2</v>
      </c>
      <c r="T20" s="18">
        <v>1</v>
      </c>
      <c r="U20" s="18">
        <v>2</v>
      </c>
      <c r="V20" s="18">
        <v>2</v>
      </c>
      <c r="W20" s="18">
        <f t="shared" si="0"/>
        <v>32</v>
      </c>
      <c r="X20" s="16">
        <v>3006</v>
      </c>
      <c r="Y20" s="12">
        <v>1</v>
      </c>
      <c r="Z20" s="12">
        <v>1</v>
      </c>
      <c r="AA20" s="13">
        <v>1</v>
      </c>
      <c r="AB20" s="14" t="e">
        <v>#N/A</v>
      </c>
      <c r="AC20" s="14" t="e">
        <v>#N/A</v>
      </c>
      <c r="AD20" s="15"/>
      <c r="AE20" s="18"/>
      <c r="AF20" s="19"/>
      <c r="AG20" s="18">
        <v>11</v>
      </c>
      <c r="AH20" s="18"/>
      <c r="AI20" s="18"/>
      <c r="AJ20" s="18">
        <v>12</v>
      </c>
      <c r="AK20" s="18"/>
      <c r="AL20" s="18"/>
      <c r="AM20" s="18"/>
      <c r="AN20" s="18"/>
      <c r="AO20" s="18"/>
      <c r="AP20" s="18">
        <v>9</v>
      </c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>
        <f t="shared" si="1"/>
        <v>32</v>
      </c>
    </row>
    <row r="21" spans="1:54" x14ac:dyDescent="0.3">
      <c r="A21" s="17" t="s">
        <v>56</v>
      </c>
      <c r="B21" s="18"/>
      <c r="C21" s="18"/>
      <c r="D21" s="18"/>
      <c r="E21" s="18"/>
      <c r="F21" s="18"/>
      <c r="G21" s="18"/>
      <c r="H21" s="18">
        <v>1</v>
      </c>
      <c r="I21" s="18">
        <v>3</v>
      </c>
      <c r="J21" s="18">
        <v>2</v>
      </c>
      <c r="K21" s="18">
        <v>3</v>
      </c>
      <c r="L21" s="19">
        <v>2</v>
      </c>
      <c r="M21" s="18">
        <v>2</v>
      </c>
      <c r="N21" s="18">
        <v>2</v>
      </c>
      <c r="O21" s="18">
        <v>2</v>
      </c>
      <c r="P21" s="18">
        <v>2</v>
      </c>
      <c r="Q21" s="18">
        <v>2</v>
      </c>
      <c r="R21" s="18">
        <v>2</v>
      </c>
      <c r="S21" s="18">
        <v>2</v>
      </c>
      <c r="T21" s="18">
        <v>2</v>
      </c>
      <c r="U21" s="18">
        <v>2</v>
      </c>
      <c r="V21" s="18">
        <v>2</v>
      </c>
      <c r="W21" s="18">
        <f t="shared" si="0"/>
        <v>31</v>
      </c>
      <c r="X21" s="16">
        <v>3006</v>
      </c>
      <c r="Y21" s="12">
        <v>0</v>
      </c>
      <c r="Z21" s="12">
        <v>0</v>
      </c>
      <c r="AA21" s="13">
        <v>1</v>
      </c>
      <c r="AB21" s="14" t="e">
        <v>#N/A</v>
      </c>
      <c r="AC21" s="14" t="e">
        <v>#N/A</v>
      </c>
      <c r="AD21" s="15"/>
      <c r="AE21" s="18"/>
      <c r="AF21" s="19"/>
      <c r="AG21" s="18">
        <v>5</v>
      </c>
      <c r="AH21" s="18"/>
      <c r="AI21" s="18"/>
      <c r="AJ21" s="18">
        <v>5</v>
      </c>
      <c r="AK21" s="18"/>
      <c r="AL21" s="18">
        <v>3</v>
      </c>
      <c r="AM21" s="18"/>
      <c r="AN21" s="18">
        <v>12</v>
      </c>
      <c r="AO21" s="18"/>
      <c r="AP21" s="18"/>
      <c r="AQ21" s="18"/>
      <c r="AR21" s="18"/>
      <c r="AS21" s="18"/>
      <c r="AT21" s="18"/>
      <c r="AU21" s="18">
        <v>6</v>
      </c>
      <c r="AV21" s="18"/>
      <c r="AW21" s="18"/>
      <c r="AX21" s="18"/>
      <c r="AY21" s="18"/>
      <c r="AZ21" s="18"/>
      <c r="BA21" s="18"/>
      <c r="BB21" s="18">
        <f t="shared" si="1"/>
        <v>31</v>
      </c>
    </row>
    <row r="22" spans="1:54" x14ac:dyDescent="0.3">
      <c r="A22" s="17" t="s">
        <v>58</v>
      </c>
      <c r="B22" s="18"/>
      <c r="C22" s="18"/>
      <c r="D22" s="18"/>
      <c r="E22" s="18"/>
      <c r="F22" s="18"/>
      <c r="G22" s="18"/>
      <c r="H22" s="18">
        <v>1</v>
      </c>
      <c r="I22" s="18">
        <v>3</v>
      </c>
      <c r="J22" s="18">
        <v>2</v>
      </c>
      <c r="K22" s="18">
        <v>3</v>
      </c>
      <c r="L22" s="19">
        <v>2</v>
      </c>
      <c r="M22" s="18">
        <v>2</v>
      </c>
      <c r="N22" s="18">
        <v>2</v>
      </c>
      <c r="O22" s="18">
        <v>2</v>
      </c>
      <c r="P22" s="18">
        <v>2</v>
      </c>
      <c r="Q22" s="18">
        <v>2</v>
      </c>
      <c r="R22" s="18">
        <v>2</v>
      </c>
      <c r="S22" s="18">
        <v>1</v>
      </c>
      <c r="T22" s="18"/>
      <c r="U22" s="18"/>
      <c r="V22" s="18">
        <v>2</v>
      </c>
      <c r="W22" s="18">
        <f t="shared" si="0"/>
        <v>26</v>
      </c>
      <c r="X22" s="16">
        <v>3006</v>
      </c>
      <c r="Y22" s="12">
        <v>0</v>
      </c>
      <c r="Z22" s="12">
        <v>0</v>
      </c>
      <c r="AA22" s="13">
        <v>1</v>
      </c>
      <c r="AB22" s="14" t="e">
        <v>#N/A</v>
      </c>
      <c r="AC22" s="14" t="e">
        <v>#N/A</v>
      </c>
      <c r="AD22" s="15"/>
      <c r="AE22" s="18">
        <v>1</v>
      </c>
      <c r="AF22" s="19"/>
      <c r="AG22" s="18"/>
      <c r="AH22" s="18"/>
      <c r="AI22" s="18">
        <v>12</v>
      </c>
      <c r="AJ22" s="18"/>
      <c r="AK22" s="18"/>
      <c r="AL22" s="18"/>
      <c r="AM22" s="18"/>
      <c r="AN22" s="18"/>
      <c r="AO22" s="18">
        <v>12</v>
      </c>
      <c r="AP22" s="18"/>
      <c r="AQ22" s="18"/>
      <c r="AR22" s="18"/>
      <c r="AS22" s="18"/>
      <c r="AT22" s="18"/>
      <c r="AU22" s="18"/>
      <c r="AV22" s="18">
        <v>1</v>
      </c>
      <c r="AW22" s="18"/>
      <c r="AX22" s="18"/>
      <c r="AY22" s="18"/>
      <c r="AZ22" s="18"/>
      <c r="BA22" s="18"/>
      <c r="BB22" s="18">
        <f t="shared" si="1"/>
        <v>26</v>
      </c>
    </row>
    <row r="23" spans="1:54" x14ac:dyDescent="0.3">
      <c r="A23" s="17" t="s">
        <v>60</v>
      </c>
      <c r="B23" s="18"/>
      <c r="C23" s="18"/>
      <c r="D23" s="18"/>
      <c r="E23" s="18"/>
      <c r="F23" s="18"/>
      <c r="G23" s="18"/>
      <c r="H23" s="18">
        <v>1</v>
      </c>
      <c r="I23" s="18">
        <v>2</v>
      </c>
      <c r="J23" s="18">
        <v>3</v>
      </c>
      <c r="K23" s="18">
        <v>3</v>
      </c>
      <c r="L23" s="19">
        <v>2</v>
      </c>
      <c r="M23" s="18">
        <v>1</v>
      </c>
      <c r="N23" s="18">
        <v>3</v>
      </c>
      <c r="O23" s="18">
        <v>2</v>
      </c>
      <c r="P23" s="18">
        <v>2</v>
      </c>
      <c r="Q23" s="18">
        <v>2</v>
      </c>
      <c r="R23" s="18">
        <v>2</v>
      </c>
      <c r="S23" s="18">
        <v>2</v>
      </c>
      <c r="T23" s="18">
        <v>2</v>
      </c>
      <c r="U23" s="18">
        <v>2</v>
      </c>
      <c r="V23" s="18">
        <v>2</v>
      </c>
      <c r="W23" s="18">
        <f t="shared" si="0"/>
        <v>31</v>
      </c>
      <c r="X23" s="16">
        <v>3006</v>
      </c>
      <c r="Y23" s="12">
        <v>0</v>
      </c>
      <c r="Z23" s="12">
        <v>0</v>
      </c>
      <c r="AA23" s="13">
        <v>1</v>
      </c>
      <c r="AB23" s="14" t="e">
        <v>#N/A</v>
      </c>
      <c r="AC23" s="14" t="e">
        <v>#N/A</v>
      </c>
      <c r="AD23" s="15"/>
      <c r="AE23" s="18"/>
      <c r="AF23" s="19"/>
      <c r="AG23" s="18">
        <v>12</v>
      </c>
      <c r="AH23" s="18"/>
      <c r="AI23" s="18"/>
      <c r="AJ23" s="18">
        <v>4</v>
      </c>
      <c r="AK23" s="18"/>
      <c r="AL23" s="18">
        <v>12</v>
      </c>
      <c r="AM23" s="18"/>
      <c r="AN23" s="18"/>
      <c r="AO23" s="18"/>
      <c r="AP23" s="18"/>
      <c r="AQ23" s="18"/>
      <c r="AR23" s="18"/>
      <c r="AS23" s="18">
        <v>3</v>
      </c>
      <c r="AT23" s="18"/>
      <c r="AU23" s="18"/>
      <c r="AV23" s="18"/>
      <c r="AW23" s="18"/>
      <c r="AX23" s="18"/>
      <c r="AY23" s="18"/>
      <c r="AZ23" s="18"/>
      <c r="BA23" s="18"/>
      <c r="BB23" s="18">
        <f t="shared" si="1"/>
        <v>31</v>
      </c>
    </row>
    <row r="24" spans="1:54" x14ac:dyDescent="0.3">
      <c r="A24" s="17" t="s">
        <v>62</v>
      </c>
      <c r="B24" s="18"/>
      <c r="C24" s="18"/>
      <c r="D24" s="18"/>
      <c r="E24" s="18"/>
      <c r="F24" s="18"/>
      <c r="G24" s="18"/>
      <c r="H24" s="18"/>
      <c r="I24" s="18">
        <v>3</v>
      </c>
      <c r="J24" s="18">
        <v>2</v>
      </c>
      <c r="K24" s="18">
        <v>3</v>
      </c>
      <c r="L24" s="19">
        <v>2</v>
      </c>
      <c r="M24" s="18">
        <v>2</v>
      </c>
      <c r="N24" s="18">
        <v>2</v>
      </c>
      <c r="O24" s="18">
        <v>2</v>
      </c>
      <c r="P24" s="18">
        <v>2</v>
      </c>
      <c r="Q24" s="18">
        <v>2</v>
      </c>
      <c r="R24" s="18">
        <v>2</v>
      </c>
      <c r="S24" s="18">
        <v>2</v>
      </c>
      <c r="T24" s="18">
        <v>2</v>
      </c>
      <c r="U24" s="18">
        <v>2</v>
      </c>
      <c r="V24" s="18">
        <v>2</v>
      </c>
      <c r="W24" s="18">
        <f t="shared" si="0"/>
        <v>30</v>
      </c>
      <c r="X24" s="16">
        <v>3007</v>
      </c>
      <c r="Y24" s="12">
        <v>1</v>
      </c>
      <c r="Z24" s="12">
        <v>0</v>
      </c>
      <c r="AA24" s="13">
        <v>1</v>
      </c>
      <c r="AB24" s="14" t="e">
        <v>#N/A</v>
      </c>
      <c r="AC24" s="14" t="e">
        <v>#N/A</v>
      </c>
      <c r="AD24" s="15"/>
      <c r="AE24" s="18"/>
      <c r="AF24" s="19"/>
      <c r="AG24" s="18">
        <v>9</v>
      </c>
      <c r="AH24" s="18"/>
      <c r="AI24" s="18"/>
      <c r="AJ24" s="18">
        <v>5</v>
      </c>
      <c r="AK24" s="18"/>
      <c r="AL24" s="18"/>
      <c r="AM24" s="18">
        <v>12</v>
      </c>
      <c r="AN24" s="18"/>
      <c r="AO24" s="18"/>
      <c r="AP24" s="18"/>
      <c r="AQ24" s="18"/>
      <c r="AR24" s="18"/>
      <c r="AS24" s="18">
        <v>4</v>
      </c>
      <c r="AT24" s="18"/>
      <c r="AU24" s="18"/>
      <c r="AV24" s="18"/>
      <c r="AW24" s="18"/>
      <c r="AX24" s="18"/>
      <c r="AY24" s="18"/>
      <c r="AZ24" s="18"/>
      <c r="BA24" s="18"/>
      <c r="BB24" s="18">
        <f t="shared" si="1"/>
        <v>30</v>
      </c>
    </row>
    <row r="25" spans="1:54" x14ac:dyDescent="0.3">
      <c r="A25" s="17" t="s">
        <v>64</v>
      </c>
      <c r="B25" s="18"/>
      <c r="C25" s="18"/>
      <c r="D25" s="18"/>
      <c r="E25" s="18"/>
      <c r="F25" s="18"/>
      <c r="G25" s="18"/>
      <c r="H25" s="18"/>
      <c r="I25" s="18">
        <v>1</v>
      </c>
      <c r="J25" s="18">
        <v>3</v>
      </c>
      <c r="K25" s="18">
        <v>3</v>
      </c>
      <c r="L25" s="19">
        <v>2</v>
      </c>
      <c r="M25" s="18">
        <v>1</v>
      </c>
      <c r="N25" s="18">
        <v>3</v>
      </c>
      <c r="O25" s="18">
        <v>2</v>
      </c>
      <c r="P25" s="18">
        <v>2</v>
      </c>
      <c r="Q25" s="18">
        <v>2</v>
      </c>
      <c r="R25" s="18">
        <v>2</v>
      </c>
      <c r="S25" s="18">
        <v>2</v>
      </c>
      <c r="T25" s="18">
        <v>2</v>
      </c>
      <c r="U25" s="18">
        <v>2</v>
      </c>
      <c r="V25" s="18">
        <v>2</v>
      </c>
      <c r="W25" s="18">
        <f t="shared" si="0"/>
        <v>29</v>
      </c>
      <c r="X25" s="16">
        <v>3008</v>
      </c>
      <c r="Y25" s="12">
        <v>2</v>
      </c>
      <c r="Z25" s="12">
        <v>0</v>
      </c>
      <c r="AA25" s="13">
        <v>1</v>
      </c>
      <c r="AB25" s="14" t="e">
        <v>#N/A</v>
      </c>
      <c r="AC25" s="14" t="e">
        <v>#N/A</v>
      </c>
      <c r="AD25" s="15"/>
      <c r="AE25" s="18"/>
      <c r="AF25" s="19"/>
      <c r="AG25" s="18"/>
      <c r="AH25" s="18"/>
      <c r="AI25" s="18">
        <v>5</v>
      </c>
      <c r="AJ25" s="18"/>
      <c r="AK25" s="18"/>
      <c r="AL25" s="18">
        <v>12</v>
      </c>
      <c r="AM25" s="18"/>
      <c r="AN25" s="18"/>
      <c r="AO25" s="18"/>
      <c r="AP25" s="18"/>
      <c r="AQ25" s="18"/>
      <c r="AR25" s="18">
        <v>12</v>
      </c>
      <c r="AS25" s="18"/>
      <c r="AT25" s="18"/>
      <c r="AU25" s="18"/>
      <c r="AV25" s="18"/>
      <c r="AW25" s="18"/>
      <c r="AX25" s="18"/>
      <c r="AY25" s="18"/>
      <c r="AZ25" s="18"/>
      <c r="BA25" s="18"/>
      <c r="BB25" s="18">
        <f t="shared" si="1"/>
        <v>29</v>
      </c>
    </row>
    <row r="26" spans="1:54" x14ac:dyDescent="0.3">
      <c r="A26" s="17" t="s">
        <v>66</v>
      </c>
      <c r="B26" s="18"/>
      <c r="C26" s="18"/>
      <c r="D26" s="18"/>
      <c r="E26" s="18"/>
      <c r="F26" s="18"/>
      <c r="G26" s="18"/>
      <c r="H26" s="18"/>
      <c r="I26" s="18">
        <v>1</v>
      </c>
      <c r="J26" s="18">
        <v>3</v>
      </c>
      <c r="K26" s="18">
        <v>3</v>
      </c>
      <c r="L26" s="19">
        <v>2</v>
      </c>
      <c r="M26" s="18">
        <v>1</v>
      </c>
      <c r="N26" s="18">
        <v>3</v>
      </c>
      <c r="O26" s="18">
        <v>2</v>
      </c>
      <c r="P26" s="18">
        <v>2</v>
      </c>
      <c r="Q26" s="18">
        <v>2</v>
      </c>
      <c r="R26" s="18">
        <v>2</v>
      </c>
      <c r="S26" s="18">
        <v>2</v>
      </c>
      <c r="T26" s="18">
        <v>2</v>
      </c>
      <c r="U26" s="18">
        <v>2</v>
      </c>
      <c r="V26" s="18">
        <v>2</v>
      </c>
      <c r="W26" s="18">
        <f t="shared" si="0"/>
        <v>29</v>
      </c>
      <c r="X26" s="16">
        <v>3008</v>
      </c>
      <c r="Y26" s="12">
        <v>2</v>
      </c>
      <c r="Z26" s="12">
        <v>0</v>
      </c>
      <c r="AA26" s="13">
        <v>1</v>
      </c>
      <c r="AB26" s="14" t="e">
        <v>#N/A</v>
      </c>
      <c r="AC26" s="14" t="e">
        <v>#N/A</v>
      </c>
      <c r="AD26" s="15"/>
      <c r="AE26" s="18"/>
      <c r="AF26" s="19"/>
      <c r="AG26" s="18">
        <v>7</v>
      </c>
      <c r="AH26" s="18"/>
      <c r="AI26" s="18"/>
      <c r="AJ26" s="18">
        <v>5</v>
      </c>
      <c r="AK26" s="18"/>
      <c r="AL26" s="18"/>
      <c r="AM26" s="18">
        <v>12</v>
      </c>
      <c r="AN26" s="18"/>
      <c r="AO26" s="18"/>
      <c r="AP26" s="18"/>
      <c r="AQ26" s="18"/>
      <c r="AR26" s="18"/>
      <c r="AS26" s="18">
        <v>5</v>
      </c>
      <c r="AT26" s="18"/>
      <c r="AU26" s="18"/>
      <c r="AV26" s="18"/>
      <c r="AW26" s="18"/>
      <c r="AX26" s="18"/>
      <c r="AY26" s="18"/>
      <c r="AZ26" s="18"/>
      <c r="BA26" s="18"/>
      <c r="BB26" s="18">
        <f t="shared" si="1"/>
        <v>29</v>
      </c>
    </row>
    <row r="27" spans="1:54" x14ac:dyDescent="0.3">
      <c r="A27" s="17" t="s">
        <v>67</v>
      </c>
      <c r="B27" s="18"/>
      <c r="C27" s="18"/>
      <c r="D27" s="18"/>
      <c r="E27" s="18"/>
      <c r="F27" s="18"/>
      <c r="G27" s="18"/>
      <c r="H27" s="18"/>
      <c r="I27" s="18"/>
      <c r="J27" s="18">
        <v>3</v>
      </c>
      <c r="K27" s="18">
        <v>3</v>
      </c>
      <c r="L27" s="19">
        <v>2</v>
      </c>
      <c r="M27" s="18">
        <v>1</v>
      </c>
      <c r="N27" s="18">
        <v>3</v>
      </c>
      <c r="O27" s="18">
        <v>2</v>
      </c>
      <c r="P27" s="18">
        <v>2</v>
      </c>
      <c r="Q27" s="18">
        <v>2</v>
      </c>
      <c r="R27" s="18">
        <v>2</v>
      </c>
      <c r="S27" s="18">
        <v>2</v>
      </c>
      <c r="T27" s="18">
        <v>2</v>
      </c>
      <c r="U27" s="18">
        <v>2</v>
      </c>
      <c r="V27" s="18">
        <v>2</v>
      </c>
      <c r="W27" s="18">
        <f t="shared" si="0"/>
        <v>28</v>
      </c>
      <c r="X27" s="16">
        <v>3008</v>
      </c>
      <c r="Y27" s="12">
        <v>2</v>
      </c>
      <c r="Z27" s="12">
        <v>0</v>
      </c>
      <c r="AA27" s="13">
        <v>1</v>
      </c>
      <c r="AB27" s="14" t="e">
        <v>#N/A</v>
      </c>
      <c r="AC27" s="14" t="e">
        <v>#N/A</v>
      </c>
      <c r="AD27" s="15"/>
      <c r="AE27" s="18"/>
      <c r="AF27" s="19"/>
      <c r="AG27" s="18"/>
      <c r="AH27" s="18"/>
      <c r="AI27" s="18"/>
      <c r="AJ27" s="18">
        <v>5</v>
      </c>
      <c r="AK27" s="18"/>
      <c r="AL27" s="18"/>
      <c r="AM27" s="18">
        <v>13</v>
      </c>
      <c r="AN27" s="18"/>
      <c r="AO27" s="18"/>
      <c r="AP27" s="18"/>
      <c r="AQ27" s="18"/>
      <c r="AR27" s="18"/>
      <c r="AS27" s="18">
        <v>10</v>
      </c>
      <c r="AT27" s="18"/>
      <c r="AU27" s="18"/>
      <c r="AV27" s="18"/>
      <c r="AW27" s="18"/>
      <c r="AX27" s="18"/>
      <c r="AY27" s="18"/>
      <c r="AZ27" s="18"/>
      <c r="BA27" s="18"/>
      <c r="BB27" s="18">
        <f t="shared" si="1"/>
        <v>28</v>
      </c>
    </row>
    <row r="28" spans="1:54" x14ac:dyDescent="0.3">
      <c r="A28" s="17" t="s">
        <v>69</v>
      </c>
      <c r="B28" s="18"/>
      <c r="C28" s="18"/>
      <c r="D28" s="18"/>
      <c r="E28" s="18"/>
      <c r="F28" s="18"/>
      <c r="G28" s="18"/>
      <c r="H28" s="18"/>
      <c r="I28" s="18"/>
      <c r="J28" s="18">
        <v>4</v>
      </c>
      <c r="K28" s="18">
        <v>6</v>
      </c>
      <c r="L28" s="19">
        <v>4</v>
      </c>
      <c r="M28" s="18">
        <v>4</v>
      </c>
      <c r="N28" s="18">
        <v>4</v>
      </c>
      <c r="O28" s="18">
        <v>4</v>
      </c>
      <c r="P28" s="18">
        <v>4</v>
      </c>
      <c r="Q28" s="18">
        <v>4</v>
      </c>
      <c r="R28" s="18">
        <v>4</v>
      </c>
      <c r="S28" s="18">
        <v>6</v>
      </c>
      <c r="T28" s="18">
        <v>2</v>
      </c>
      <c r="U28" s="18">
        <v>4</v>
      </c>
      <c r="V28" s="18">
        <v>4</v>
      </c>
      <c r="W28" s="18">
        <f t="shared" si="0"/>
        <v>54</v>
      </c>
      <c r="X28" s="16">
        <v>3009</v>
      </c>
      <c r="Y28" s="12">
        <v>6</v>
      </c>
      <c r="Z28" s="12">
        <v>0</v>
      </c>
      <c r="AA28" s="13">
        <v>2</v>
      </c>
      <c r="AB28" s="14" t="e">
        <v>#N/A</v>
      </c>
      <c r="AC28" s="14" t="e">
        <v>#N/A</v>
      </c>
      <c r="AD28" s="15"/>
      <c r="AE28" s="18"/>
      <c r="AF28" s="19"/>
      <c r="AG28" s="18">
        <v>20</v>
      </c>
      <c r="AH28" s="18"/>
      <c r="AI28" s="18"/>
      <c r="AJ28" s="18"/>
      <c r="AK28" s="18">
        <v>10</v>
      </c>
      <c r="AL28" s="18"/>
      <c r="AM28" s="18">
        <v>24</v>
      </c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>
        <f t="shared" si="1"/>
        <v>54</v>
      </c>
    </row>
    <row r="29" spans="1:54" x14ac:dyDescent="0.3">
      <c r="A29" s="17" t="s">
        <v>71</v>
      </c>
      <c r="B29" s="18"/>
      <c r="C29" s="18"/>
      <c r="D29" s="18"/>
      <c r="E29" s="18"/>
      <c r="F29" s="18"/>
      <c r="G29" s="18"/>
      <c r="H29" s="18"/>
      <c r="I29" s="18">
        <v>3</v>
      </c>
      <c r="J29" s="18">
        <v>3</v>
      </c>
      <c r="K29" s="18">
        <v>2</v>
      </c>
      <c r="L29" s="19">
        <v>2</v>
      </c>
      <c r="M29" s="18">
        <v>2</v>
      </c>
      <c r="N29" s="18">
        <v>2</v>
      </c>
      <c r="O29" s="18">
        <v>2</v>
      </c>
      <c r="P29" s="18">
        <v>2</v>
      </c>
      <c r="Q29" s="18">
        <v>2</v>
      </c>
      <c r="R29" s="18">
        <v>2</v>
      </c>
      <c r="S29" s="18">
        <v>2</v>
      </c>
      <c r="T29" s="18">
        <v>2</v>
      </c>
      <c r="U29" s="18">
        <v>2</v>
      </c>
      <c r="V29" s="18">
        <v>2</v>
      </c>
      <c r="W29" s="18">
        <f t="shared" si="0"/>
        <v>30</v>
      </c>
      <c r="X29" s="16">
        <v>3009</v>
      </c>
      <c r="Y29" s="12">
        <v>3</v>
      </c>
      <c r="Z29" s="12">
        <v>0</v>
      </c>
      <c r="AA29" s="13">
        <v>1</v>
      </c>
      <c r="AB29" s="14" t="e">
        <v>#N/A</v>
      </c>
      <c r="AC29" s="14" t="e">
        <v>#N/A</v>
      </c>
      <c r="AD29" s="15"/>
      <c r="AE29" s="18"/>
      <c r="AF29" s="19"/>
      <c r="AG29" s="18">
        <v>6</v>
      </c>
      <c r="AH29" s="18">
        <v>5</v>
      </c>
      <c r="AI29" s="18"/>
      <c r="AJ29" s="18">
        <v>12</v>
      </c>
      <c r="AK29" s="18"/>
      <c r="AL29" s="18"/>
      <c r="AM29" s="18"/>
      <c r="AN29" s="18"/>
      <c r="AO29" s="18"/>
      <c r="AP29" s="18">
        <v>7</v>
      </c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>
        <f t="shared" si="1"/>
        <v>30</v>
      </c>
    </row>
    <row r="30" spans="1:54" x14ac:dyDescent="0.3">
      <c r="A30" s="17" t="s">
        <v>73</v>
      </c>
      <c r="B30" s="18"/>
      <c r="C30" s="18"/>
      <c r="D30" s="18"/>
      <c r="E30" s="18"/>
      <c r="F30" s="18"/>
      <c r="G30" s="18"/>
      <c r="H30" s="18"/>
      <c r="I30" s="18"/>
      <c r="J30" s="18">
        <v>3</v>
      </c>
      <c r="K30" s="18">
        <v>3</v>
      </c>
      <c r="L30" s="19">
        <v>2</v>
      </c>
      <c r="M30" s="18">
        <v>1</v>
      </c>
      <c r="N30" s="18">
        <v>3</v>
      </c>
      <c r="O30" s="18">
        <v>2</v>
      </c>
      <c r="P30" s="18">
        <v>2</v>
      </c>
      <c r="Q30" s="18">
        <v>2</v>
      </c>
      <c r="R30" s="18">
        <v>2</v>
      </c>
      <c r="S30" s="18">
        <v>2</v>
      </c>
      <c r="T30" s="18">
        <v>2</v>
      </c>
      <c r="U30" s="18">
        <v>2</v>
      </c>
      <c r="V30" s="18">
        <v>2</v>
      </c>
      <c r="W30" s="18">
        <f t="shared" si="0"/>
        <v>28</v>
      </c>
      <c r="X30" s="16">
        <v>3009</v>
      </c>
      <c r="Y30" s="12">
        <v>3</v>
      </c>
      <c r="Z30" s="12">
        <v>0</v>
      </c>
      <c r="AA30" s="13">
        <v>1</v>
      </c>
      <c r="AB30" s="14" t="e">
        <v>#N/A</v>
      </c>
      <c r="AC30" s="14" t="e">
        <v>#N/A</v>
      </c>
      <c r="AD30" s="15"/>
      <c r="AE30" s="18"/>
      <c r="AF30" s="19"/>
      <c r="AG30" s="18">
        <v>5</v>
      </c>
      <c r="AH30" s="18"/>
      <c r="AI30" s="18"/>
      <c r="AJ30" s="18">
        <v>5</v>
      </c>
      <c r="AK30" s="18"/>
      <c r="AL30" s="18"/>
      <c r="AM30" s="18">
        <v>12</v>
      </c>
      <c r="AN30" s="18"/>
      <c r="AO30" s="18"/>
      <c r="AP30" s="18"/>
      <c r="AQ30" s="18"/>
      <c r="AR30" s="18"/>
      <c r="AS30" s="18">
        <v>6</v>
      </c>
      <c r="AT30" s="18"/>
      <c r="AU30" s="18"/>
      <c r="AV30" s="18"/>
      <c r="AW30" s="18"/>
      <c r="AX30" s="18"/>
      <c r="AY30" s="18"/>
      <c r="AZ30" s="18"/>
      <c r="BA30" s="18"/>
      <c r="BB30" s="18">
        <f t="shared" si="1"/>
        <v>28</v>
      </c>
    </row>
    <row r="31" spans="1:54" x14ac:dyDescent="0.3">
      <c r="A31" s="17" t="s">
        <v>75</v>
      </c>
      <c r="B31" s="18"/>
      <c r="C31" s="18"/>
      <c r="D31" s="18"/>
      <c r="E31" s="18"/>
      <c r="F31" s="18"/>
      <c r="G31" s="18"/>
      <c r="H31" s="18"/>
      <c r="I31" s="18"/>
      <c r="J31" s="18">
        <v>2</v>
      </c>
      <c r="K31" s="18">
        <v>3</v>
      </c>
      <c r="L31" s="19">
        <v>2</v>
      </c>
      <c r="M31" s="18">
        <v>2</v>
      </c>
      <c r="N31" s="18">
        <v>2</v>
      </c>
      <c r="O31" s="18">
        <v>2</v>
      </c>
      <c r="P31" s="18">
        <v>2</v>
      </c>
      <c r="Q31" s="18">
        <v>2</v>
      </c>
      <c r="R31" s="18">
        <v>2</v>
      </c>
      <c r="S31" s="18">
        <v>3</v>
      </c>
      <c r="T31" s="18">
        <v>1</v>
      </c>
      <c r="U31" s="18">
        <v>2</v>
      </c>
      <c r="V31" s="18">
        <v>2</v>
      </c>
      <c r="W31" s="18">
        <f t="shared" si="0"/>
        <v>27</v>
      </c>
      <c r="X31" s="16">
        <v>3009</v>
      </c>
      <c r="Y31" s="12">
        <v>3</v>
      </c>
      <c r="Z31" s="12">
        <v>1</v>
      </c>
      <c r="AA31" s="13">
        <v>1</v>
      </c>
      <c r="AB31" s="14" t="e">
        <v>#N/A</v>
      </c>
      <c r="AC31" s="14" t="e">
        <v>#N/A</v>
      </c>
      <c r="AD31" s="15"/>
      <c r="AE31" s="18"/>
      <c r="AF31" s="19"/>
      <c r="AG31" s="18"/>
      <c r="AH31" s="18"/>
      <c r="AI31" s="18">
        <v>12</v>
      </c>
      <c r="AJ31" s="18"/>
      <c r="AK31" s="18"/>
      <c r="AL31" s="18"/>
      <c r="AM31" s="18"/>
      <c r="AN31" s="18"/>
      <c r="AO31" s="18">
        <v>5</v>
      </c>
      <c r="AP31" s="18"/>
      <c r="AQ31" s="18">
        <v>10</v>
      </c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>
        <f t="shared" si="1"/>
        <v>27</v>
      </c>
    </row>
    <row r="32" spans="1:54" x14ac:dyDescent="0.3">
      <c r="A32" s="17" t="s">
        <v>77</v>
      </c>
      <c r="B32" s="18"/>
      <c r="C32" s="18"/>
      <c r="D32" s="18"/>
      <c r="E32" s="18"/>
      <c r="F32" s="18"/>
      <c r="G32" s="18"/>
      <c r="H32" s="18"/>
      <c r="I32" s="18"/>
      <c r="J32" s="18">
        <v>2</v>
      </c>
      <c r="K32" s="18">
        <v>2</v>
      </c>
      <c r="L32" s="19">
        <v>2</v>
      </c>
      <c r="M32" s="18">
        <v>2</v>
      </c>
      <c r="N32" s="18">
        <v>2</v>
      </c>
      <c r="O32" s="18">
        <v>2</v>
      </c>
      <c r="P32" s="18">
        <v>2</v>
      </c>
      <c r="Q32" s="18">
        <v>2</v>
      </c>
      <c r="R32" s="18">
        <v>2</v>
      </c>
      <c r="S32" s="18">
        <v>3</v>
      </c>
      <c r="T32" s="18">
        <v>1</v>
      </c>
      <c r="U32" s="18">
        <v>2</v>
      </c>
      <c r="V32" s="18">
        <v>2</v>
      </c>
      <c r="W32" s="18">
        <f t="shared" si="0"/>
        <v>26</v>
      </c>
      <c r="X32" s="16">
        <v>3010</v>
      </c>
      <c r="Y32" s="12">
        <v>4</v>
      </c>
      <c r="Z32" s="12">
        <v>0</v>
      </c>
      <c r="AA32" s="13">
        <v>1</v>
      </c>
      <c r="AB32" s="14" t="e">
        <v>#N/A</v>
      </c>
      <c r="AC32" s="14" t="e">
        <v>#N/A</v>
      </c>
      <c r="AD32" s="15"/>
      <c r="AE32" s="18"/>
      <c r="AF32" s="19"/>
      <c r="AG32" s="18">
        <v>8</v>
      </c>
      <c r="AH32" s="18"/>
      <c r="AI32" s="18"/>
      <c r="AJ32" s="18">
        <v>4</v>
      </c>
      <c r="AK32" s="18"/>
      <c r="AL32" s="18">
        <v>12</v>
      </c>
      <c r="AM32" s="18"/>
      <c r="AN32" s="18"/>
      <c r="AO32" s="18"/>
      <c r="AP32" s="18"/>
      <c r="AQ32" s="18"/>
      <c r="AR32" s="18">
        <v>2</v>
      </c>
      <c r="AS32" s="18"/>
      <c r="AT32" s="18"/>
      <c r="AU32" s="18"/>
      <c r="AV32" s="18"/>
      <c r="AW32" s="18"/>
      <c r="AX32" s="18"/>
      <c r="AY32" s="18"/>
      <c r="AZ32" s="18"/>
      <c r="BA32" s="18"/>
      <c r="BB32" s="18">
        <f t="shared" si="1"/>
        <v>26</v>
      </c>
    </row>
    <row r="33" spans="1:54" x14ac:dyDescent="0.3">
      <c r="A33" s="17" t="s">
        <v>79</v>
      </c>
      <c r="B33" s="18"/>
      <c r="C33" s="18"/>
      <c r="D33" s="18"/>
      <c r="E33" s="18"/>
      <c r="F33" s="18"/>
      <c r="G33" s="18"/>
      <c r="H33" s="18"/>
      <c r="I33" s="18">
        <v>3</v>
      </c>
      <c r="J33" s="18">
        <v>4</v>
      </c>
      <c r="K33" s="18">
        <v>6</v>
      </c>
      <c r="L33" s="19">
        <v>4</v>
      </c>
      <c r="M33" s="18">
        <v>2</v>
      </c>
      <c r="N33" s="18">
        <v>4</v>
      </c>
      <c r="O33" s="18">
        <v>4</v>
      </c>
      <c r="P33" s="18">
        <v>4</v>
      </c>
      <c r="Q33" s="18">
        <v>6</v>
      </c>
      <c r="R33" s="18">
        <v>4</v>
      </c>
      <c r="S33" s="18">
        <v>4</v>
      </c>
      <c r="T33" s="18">
        <v>2</v>
      </c>
      <c r="U33" s="18">
        <v>4</v>
      </c>
      <c r="V33" s="18">
        <v>4</v>
      </c>
      <c r="W33" s="18">
        <f t="shared" si="0"/>
        <v>55</v>
      </c>
      <c r="X33" s="16">
        <v>3011</v>
      </c>
      <c r="Y33" s="12">
        <v>11</v>
      </c>
      <c r="Z33" s="12">
        <v>0</v>
      </c>
      <c r="AA33" s="13">
        <v>2</v>
      </c>
      <c r="AB33" s="14" t="e">
        <v>#N/A</v>
      </c>
      <c r="AC33" s="14" t="e">
        <v>#N/A</v>
      </c>
      <c r="AD33" s="15"/>
      <c r="AE33" s="18"/>
      <c r="AF33" s="19"/>
      <c r="AG33" s="18"/>
      <c r="AH33" s="18">
        <v>22</v>
      </c>
      <c r="AI33" s="18"/>
      <c r="AJ33" s="18"/>
      <c r="AK33" s="18">
        <v>10</v>
      </c>
      <c r="AL33" s="18"/>
      <c r="AM33" s="18">
        <v>23</v>
      </c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>
        <f t="shared" si="1"/>
        <v>55</v>
      </c>
    </row>
    <row r="34" spans="1:54" x14ac:dyDescent="0.3">
      <c r="A34" s="17" t="s">
        <v>82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9"/>
      <c r="M34" s="18">
        <v>6</v>
      </c>
      <c r="N34" s="18">
        <v>12</v>
      </c>
      <c r="O34" s="18">
        <v>8</v>
      </c>
      <c r="P34" s="18">
        <v>4</v>
      </c>
      <c r="Q34" s="18"/>
      <c r="R34" s="18"/>
      <c r="S34" s="18"/>
      <c r="T34" s="18">
        <v>7</v>
      </c>
      <c r="U34" s="18">
        <v>8</v>
      </c>
      <c r="V34" s="18">
        <v>7</v>
      </c>
      <c r="W34" s="18">
        <f t="shared" si="0"/>
        <v>52</v>
      </c>
      <c r="X34" s="16">
        <v>3011</v>
      </c>
      <c r="Y34" s="12">
        <v>22</v>
      </c>
      <c r="Z34" s="12">
        <v>0</v>
      </c>
      <c r="AA34" s="13">
        <v>4</v>
      </c>
      <c r="AB34" s="14" t="e">
        <v>#N/A</v>
      </c>
      <c r="AC34" s="14" t="e">
        <v>#N/A</v>
      </c>
      <c r="AD34" s="15"/>
      <c r="AE34" s="18"/>
      <c r="AF34" s="19"/>
      <c r="AG34" s="18"/>
      <c r="AH34" s="18"/>
      <c r="AI34" s="18">
        <v>30</v>
      </c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>
        <v>22</v>
      </c>
      <c r="AW34" s="18"/>
      <c r="AX34" s="18"/>
      <c r="AY34" s="18"/>
      <c r="AZ34" s="18"/>
      <c r="BA34" s="18"/>
      <c r="BB34" s="18">
        <f t="shared" si="1"/>
        <v>52</v>
      </c>
    </row>
    <row r="35" spans="1:54" x14ac:dyDescent="0.3">
      <c r="A35" s="17" t="s">
        <v>84</v>
      </c>
      <c r="B35" s="18"/>
      <c r="C35" s="18"/>
      <c r="D35" s="18"/>
      <c r="E35" s="18"/>
      <c r="F35" s="18"/>
      <c r="G35" s="18"/>
      <c r="H35" s="18"/>
      <c r="I35" s="18"/>
      <c r="J35" s="18">
        <v>2</v>
      </c>
      <c r="K35" s="18">
        <v>3</v>
      </c>
      <c r="L35" s="19">
        <v>2</v>
      </c>
      <c r="M35" s="18">
        <v>2</v>
      </c>
      <c r="N35" s="18">
        <v>1</v>
      </c>
      <c r="O35" s="18">
        <v>3</v>
      </c>
      <c r="P35" s="18">
        <v>2</v>
      </c>
      <c r="Q35" s="18">
        <v>2</v>
      </c>
      <c r="R35" s="18">
        <v>2</v>
      </c>
      <c r="S35" s="18">
        <v>2</v>
      </c>
      <c r="T35" s="18">
        <v>1</v>
      </c>
      <c r="U35" s="18">
        <v>2</v>
      </c>
      <c r="V35" s="18">
        <v>3</v>
      </c>
      <c r="W35" s="18">
        <f t="shared" si="0"/>
        <v>27</v>
      </c>
      <c r="X35" s="16">
        <v>3011</v>
      </c>
      <c r="Y35" s="12">
        <v>5</v>
      </c>
      <c r="Z35" s="12">
        <v>0</v>
      </c>
      <c r="AA35" s="13">
        <v>1</v>
      </c>
      <c r="AB35" s="14" t="e">
        <v>#N/A</v>
      </c>
      <c r="AC35" s="14" t="e">
        <v>#N/A</v>
      </c>
      <c r="AD35" s="15"/>
      <c r="AE35" s="18"/>
      <c r="AF35" s="19"/>
      <c r="AG35" s="18"/>
      <c r="AH35" s="18"/>
      <c r="AI35" s="18">
        <v>10</v>
      </c>
      <c r="AJ35" s="18"/>
      <c r="AK35" s="18">
        <v>12</v>
      </c>
      <c r="AL35" s="18"/>
      <c r="AM35" s="18"/>
      <c r="AN35" s="18"/>
      <c r="AO35" s="18"/>
      <c r="AP35" s="18"/>
      <c r="AQ35" s="18">
        <v>5</v>
      </c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>
        <f t="shared" si="1"/>
        <v>27</v>
      </c>
    </row>
    <row r="36" spans="1:54" x14ac:dyDescent="0.3">
      <c r="A36" s="17" t="s">
        <v>85</v>
      </c>
      <c r="B36" s="18"/>
      <c r="C36" s="18"/>
      <c r="D36" s="18"/>
      <c r="E36" s="18"/>
      <c r="F36" s="18"/>
      <c r="G36" s="18"/>
      <c r="H36" s="18"/>
      <c r="I36" s="18"/>
      <c r="J36" s="18"/>
      <c r="K36" s="18">
        <v>3</v>
      </c>
      <c r="L36" s="19">
        <v>2</v>
      </c>
      <c r="M36" s="18">
        <v>2</v>
      </c>
      <c r="N36" s="18">
        <v>2</v>
      </c>
      <c r="O36" s="18">
        <v>2</v>
      </c>
      <c r="P36" s="18">
        <v>2</v>
      </c>
      <c r="Q36" s="18">
        <v>2</v>
      </c>
      <c r="R36" s="18">
        <v>2</v>
      </c>
      <c r="S36" s="18">
        <v>2</v>
      </c>
      <c r="T36" s="18">
        <v>2</v>
      </c>
      <c r="U36" s="18">
        <v>2</v>
      </c>
      <c r="V36" s="18">
        <v>2</v>
      </c>
      <c r="W36" s="18">
        <f t="shared" si="0"/>
        <v>25</v>
      </c>
      <c r="X36" s="16">
        <v>3012</v>
      </c>
      <c r="Y36" s="12">
        <v>6</v>
      </c>
      <c r="Z36" s="12">
        <v>0</v>
      </c>
      <c r="AA36" s="13">
        <v>1</v>
      </c>
      <c r="AB36" s="14" t="e">
        <v>#N/A</v>
      </c>
      <c r="AC36" s="14" t="e">
        <v>#N/A</v>
      </c>
      <c r="AD36" s="15"/>
      <c r="AE36" s="18"/>
      <c r="AF36" s="19"/>
      <c r="AG36" s="18"/>
      <c r="AH36" s="18"/>
      <c r="AI36" s="18"/>
      <c r="AJ36" s="18">
        <v>13</v>
      </c>
      <c r="AK36" s="18"/>
      <c r="AL36" s="18"/>
      <c r="AM36" s="18"/>
      <c r="AN36" s="18"/>
      <c r="AO36" s="18"/>
      <c r="AP36" s="18">
        <v>12</v>
      </c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>
        <f t="shared" si="1"/>
        <v>25</v>
      </c>
    </row>
    <row r="37" spans="1:54" x14ac:dyDescent="0.3">
      <c r="A37" s="17" t="s">
        <v>87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9">
        <v>2</v>
      </c>
      <c r="M37" s="18">
        <v>1</v>
      </c>
      <c r="N37" s="18">
        <v>2</v>
      </c>
      <c r="O37" s="18">
        <v>2</v>
      </c>
      <c r="P37" s="18">
        <v>3</v>
      </c>
      <c r="Q37" s="18">
        <v>2</v>
      </c>
      <c r="R37" s="18">
        <v>2</v>
      </c>
      <c r="S37" s="18">
        <v>2</v>
      </c>
      <c r="T37" s="18">
        <v>1</v>
      </c>
      <c r="U37" s="18">
        <v>2</v>
      </c>
      <c r="V37" s="18">
        <v>2</v>
      </c>
      <c r="W37" s="18">
        <f t="shared" si="0"/>
        <v>21</v>
      </c>
      <c r="X37" s="16">
        <v>3013</v>
      </c>
      <c r="Y37" s="12">
        <v>8</v>
      </c>
      <c r="Z37" s="12">
        <v>0</v>
      </c>
      <c r="AA37" s="13">
        <v>1</v>
      </c>
      <c r="AB37" s="14" t="e">
        <v>#N/A</v>
      </c>
      <c r="AC37" s="14" t="e">
        <v>#N/A</v>
      </c>
      <c r="AD37" s="15"/>
      <c r="AE37" s="18"/>
      <c r="AF37" s="19"/>
      <c r="AG37" s="18">
        <v>6</v>
      </c>
      <c r="AH37" s="18"/>
      <c r="AI37" s="18">
        <v>6</v>
      </c>
      <c r="AJ37" s="18"/>
      <c r="AK37" s="18"/>
      <c r="AL37" s="18">
        <v>6</v>
      </c>
      <c r="AM37" s="18"/>
      <c r="AN37" s="18"/>
      <c r="AO37" s="18">
        <v>3</v>
      </c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>
        <f t="shared" si="1"/>
        <v>21</v>
      </c>
    </row>
    <row r="38" spans="1:54" x14ac:dyDescent="0.3">
      <c r="A38" s="17" t="s">
        <v>89</v>
      </c>
      <c r="B38" s="18"/>
      <c r="C38" s="18"/>
      <c r="D38" s="18"/>
      <c r="E38" s="18"/>
      <c r="F38" s="18"/>
      <c r="G38" s="18"/>
      <c r="H38" s="18"/>
      <c r="I38" s="18"/>
      <c r="J38" s="18"/>
      <c r="K38" s="18">
        <v>2</v>
      </c>
      <c r="L38" s="19">
        <v>2</v>
      </c>
      <c r="M38" s="18">
        <v>2</v>
      </c>
      <c r="N38" s="18">
        <v>2</v>
      </c>
      <c r="O38" s="18">
        <v>2</v>
      </c>
      <c r="P38" s="18">
        <v>2</v>
      </c>
      <c r="Q38" s="18">
        <v>2</v>
      </c>
      <c r="R38" s="18">
        <v>2</v>
      </c>
      <c r="S38" s="18">
        <v>2</v>
      </c>
      <c r="T38" s="18">
        <v>2</v>
      </c>
      <c r="U38" s="18">
        <v>2</v>
      </c>
      <c r="V38" s="18">
        <v>2</v>
      </c>
      <c r="W38" s="18">
        <f t="shared" si="0"/>
        <v>24</v>
      </c>
      <c r="X38" s="16">
        <v>3013</v>
      </c>
      <c r="Y38" s="12">
        <v>7</v>
      </c>
      <c r="Z38" s="12">
        <v>0</v>
      </c>
      <c r="AA38" s="13">
        <v>1</v>
      </c>
      <c r="AB38" s="14" t="e">
        <v>#N/A</v>
      </c>
      <c r="AC38" s="14" t="e">
        <v>#N/A</v>
      </c>
      <c r="AD38" s="15"/>
      <c r="AE38" s="18"/>
      <c r="AF38" s="19"/>
      <c r="AG38" s="18"/>
      <c r="AH38" s="18">
        <v>8</v>
      </c>
      <c r="AI38" s="18"/>
      <c r="AJ38" s="18"/>
      <c r="AK38" s="18"/>
      <c r="AL38" s="18">
        <v>9</v>
      </c>
      <c r="AM38" s="18"/>
      <c r="AN38" s="18"/>
      <c r="AO38" s="18"/>
      <c r="AP38" s="18">
        <v>7</v>
      </c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>
        <f t="shared" si="1"/>
        <v>24</v>
      </c>
    </row>
    <row r="39" spans="1:54" x14ac:dyDescent="0.3">
      <c r="A39" s="17" t="s">
        <v>91</v>
      </c>
      <c r="B39" s="18"/>
      <c r="C39" s="18"/>
      <c r="D39" s="18"/>
      <c r="E39" s="18"/>
      <c r="F39" s="18"/>
      <c r="G39" s="18"/>
      <c r="H39" s="18"/>
      <c r="I39" s="18"/>
      <c r="J39" s="18"/>
      <c r="K39" s="18">
        <v>2</v>
      </c>
      <c r="L39" s="19">
        <v>2</v>
      </c>
      <c r="M39" s="18">
        <v>1</v>
      </c>
      <c r="N39" s="18">
        <v>3</v>
      </c>
      <c r="O39" s="18">
        <v>2</v>
      </c>
      <c r="P39" s="18">
        <v>2</v>
      </c>
      <c r="Q39" s="18">
        <v>2</v>
      </c>
      <c r="R39" s="18">
        <v>2</v>
      </c>
      <c r="S39" s="18">
        <v>2</v>
      </c>
      <c r="T39" s="18">
        <v>2</v>
      </c>
      <c r="U39" s="18">
        <v>2</v>
      </c>
      <c r="V39" s="18">
        <v>2</v>
      </c>
      <c r="W39" s="18">
        <f t="shared" si="0"/>
        <v>24</v>
      </c>
      <c r="X39" s="16">
        <v>3013</v>
      </c>
      <c r="Y39" s="12">
        <v>7</v>
      </c>
      <c r="Z39" s="12">
        <v>0</v>
      </c>
      <c r="AA39" s="13">
        <v>1</v>
      </c>
      <c r="AB39" s="14" t="e">
        <v>#N/A</v>
      </c>
      <c r="AC39" s="14" t="e">
        <v>#N/A</v>
      </c>
      <c r="AD39" s="15"/>
      <c r="AE39" s="18"/>
      <c r="AF39" s="19"/>
      <c r="AG39" s="18"/>
      <c r="AH39" s="18">
        <v>1</v>
      </c>
      <c r="AI39" s="18">
        <v>5</v>
      </c>
      <c r="AJ39" s="18"/>
      <c r="AK39" s="18">
        <v>12</v>
      </c>
      <c r="AL39" s="18"/>
      <c r="AM39" s="18"/>
      <c r="AN39" s="18"/>
      <c r="AO39" s="18"/>
      <c r="AP39" s="18"/>
      <c r="AQ39" s="18">
        <v>6</v>
      </c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>
        <f t="shared" si="1"/>
        <v>24</v>
      </c>
    </row>
    <row r="40" spans="1:54" x14ac:dyDescent="0.3">
      <c r="A40" s="17" t="s">
        <v>92</v>
      </c>
      <c r="B40" s="18"/>
      <c r="C40" s="18"/>
      <c r="D40" s="18"/>
      <c r="E40" s="18"/>
      <c r="F40" s="18"/>
      <c r="G40" s="18"/>
      <c r="H40" s="18"/>
      <c r="I40" s="18"/>
      <c r="J40" s="18"/>
      <c r="K40" s="18">
        <v>1</v>
      </c>
      <c r="L40" s="19">
        <v>1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>
        <f t="shared" si="0"/>
        <v>2</v>
      </c>
      <c r="X40" s="16">
        <v>3013</v>
      </c>
      <c r="Y40" s="12">
        <v>7</v>
      </c>
      <c r="Z40" s="12">
        <v>0</v>
      </c>
      <c r="AA40" s="13">
        <v>1</v>
      </c>
      <c r="AB40" s="14" t="e">
        <v>#N/A</v>
      </c>
      <c r="AC40" s="14" t="e">
        <v>#N/A</v>
      </c>
      <c r="AD40" s="15"/>
      <c r="AE40" s="18"/>
      <c r="AF40" s="19"/>
      <c r="AG40" s="18"/>
      <c r="AH40" s="18">
        <v>2</v>
      </c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>
        <f t="shared" si="1"/>
        <v>2</v>
      </c>
    </row>
    <row r="41" spans="1:54" x14ac:dyDescent="0.3">
      <c r="A41" s="17" t="s">
        <v>93</v>
      </c>
      <c r="B41" s="18"/>
      <c r="C41" s="18"/>
      <c r="D41" s="18"/>
      <c r="E41" s="18"/>
      <c r="F41" s="18"/>
      <c r="G41" s="18"/>
      <c r="H41" s="18"/>
      <c r="I41" s="18"/>
      <c r="J41" s="18"/>
      <c r="K41" s="18">
        <v>2</v>
      </c>
      <c r="L41" s="19">
        <v>2</v>
      </c>
      <c r="M41" s="18">
        <v>1</v>
      </c>
      <c r="N41" s="18">
        <v>3</v>
      </c>
      <c r="O41" s="18">
        <v>2</v>
      </c>
      <c r="P41" s="18">
        <v>2</v>
      </c>
      <c r="Q41" s="18">
        <v>2</v>
      </c>
      <c r="R41" s="18">
        <v>2</v>
      </c>
      <c r="S41" s="18">
        <v>2</v>
      </c>
      <c r="T41" s="18">
        <v>2</v>
      </c>
      <c r="U41" s="18">
        <v>2</v>
      </c>
      <c r="V41" s="18">
        <v>2</v>
      </c>
      <c r="W41" s="18">
        <f t="shared" si="0"/>
        <v>24</v>
      </c>
      <c r="X41" s="16">
        <v>3013</v>
      </c>
      <c r="Y41" s="12">
        <v>7</v>
      </c>
      <c r="Z41" s="12">
        <v>0</v>
      </c>
      <c r="AA41" s="13">
        <v>1</v>
      </c>
      <c r="AB41" s="14" t="e">
        <v>#N/A</v>
      </c>
      <c r="AC41" s="14" t="e">
        <v>#N/A</v>
      </c>
      <c r="AD41" s="15"/>
      <c r="AE41" s="18"/>
      <c r="AF41" s="19"/>
      <c r="AG41" s="18">
        <v>1</v>
      </c>
      <c r="AH41" s="18">
        <v>5</v>
      </c>
      <c r="AI41" s="18"/>
      <c r="AJ41" s="18"/>
      <c r="AK41" s="18"/>
      <c r="AL41" s="18"/>
      <c r="AM41" s="18">
        <v>12</v>
      </c>
      <c r="AN41" s="18"/>
      <c r="AO41" s="18"/>
      <c r="AP41" s="18"/>
      <c r="AQ41" s="18"/>
      <c r="AR41" s="18"/>
      <c r="AS41" s="18">
        <v>6</v>
      </c>
      <c r="AT41" s="18"/>
      <c r="AU41" s="18"/>
      <c r="AV41" s="18"/>
      <c r="AW41" s="18"/>
      <c r="AX41" s="18"/>
      <c r="AY41" s="18"/>
      <c r="AZ41" s="18"/>
      <c r="BA41" s="18"/>
      <c r="BB41" s="18">
        <f t="shared" si="1"/>
        <v>24</v>
      </c>
    </row>
    <row r="42" spans="1:54" x14ac:dyDescent="0.3">
      <c r="A42" s="17" t="s">
        <v>95</v>
      </c>
      <c r="B42" s="18"/>
      <c r="C42" s="18"/>
      <c r="D42" s="18"/>
      <c r="E42" s="18"/>
      <c r="F42" s="18"/>
      <c r="G42" s="18"/>
      <c r="H42" s="18"/>
      <c r="I42" s="18"/>
      <c r="J42" s="18">
        <v>1</v>
      </c>
      <c r="K42" s="18">
        <v>2</v>
      </c>
      <c r="L42" s="19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f t="shared" si="0"/>
        <v>25</v>
      </c>
      <c r="X42" s="16">
        <v>3013</v>
      </c>
      <c r="Y42" s="12">
        <v>7</v>
      </c>
      <c r="Z42" s="12">
        <v>0</v>
      </c>
      <c r="AA42" s="13">
        <v>1</v>
      </c>
      <c r="AB42" s="14" t="e">
        <v>#N/A</v>
      </c>
      <c r="AC42" s="14" t="e">
        <v>#N/A</v>
      </c>
      <c r="AD42" s="15"/>
      <c r="AE42" s="18"/>
      <c r="AF42" s="19"/>
      <c r="AG42" s="18">
        <v>12</v>
      </c>
      <c r="AH42" s="18"/>
      <c r="AI42" s="18"/>
      <c r="AJ42" s="18"/>
      <c r="AK42" s="18"/>
      <c r="AL42" s="18"/>
      <c r="AM42" s="18">
        <v>12</v>
      </c>
      <c r="AN42" s="18"/>
      <c r="AO42" s="18"/>
      <c r="AP42" s="18"/>
      <c r="AQ42" s="18"/>
      <c r="AR42" s="18"/>
      <c r="AS42" s="18"/>
      <c r="AT42" s="18">
        <v>1</v>
      </c>
      <c r="AU42" s="18"/>
      <c r="AV42" s="18"/>
      <c r="AW42" s="18"/>
      <c r="AX42" s="18"/>
      <c r="AY42" s="18"/>
      <c r="AZ42" s="18"/>
      <c r="BA42" s="18"/>
      <c r="BB42" s="18">
        <f t="shared" si="1"/>
        <v>25</v>
      </c>
    </row>
    <row r="43" spans="1:54" x14ac:dyDescent="0.3">
      <c r="A43" s="17" t="s">
        <v>80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9"/>
      <c r="M43" s="18">
        <v>6</v>
      </c>
      <c r="N43" s="18">
        <v>6</v>
      </c>
      <c r="O43" s="18">
        <v>6</v>
      </c>
      <c r="P43" s="18">
        <v>6</v>
      </c>
      <c r="Q43" s="18">
        <v>6</v>
      </c>
      <c r="R43" s="18">
        <v>6</v>
      </c>
      <c r="S43" s="18">
        <v>9</v>
      </c>
      <c r="T43" s="18">
        <v>3</v>
      </c>
      <c r="U43" s="18">
        <v>6</v>
      </c>
      <c r="V43" s="18">
        <v>6</v>
      </c>
      <c r="W43" s="18">
        <f t="shared" si="0"/>
        <v>60</v>
      </c>
      <c r="X43" s="16">
        <v>3014</v>
      </c>
      <c r="Y43" s="12">
        <v>16</v>
      </c>
      <c r="Z43" s="12">
        <v>0</v>
      </c>
      <c r="AA43" s="13">
        <v>3</v>
      </c>
      <c r="AB43" s="14" t="e">
        <v>#N/A</v>
      </c>
      <c r="AC43" s="14" t="e">
        <v>#N/A</v>
      </c>
      <c r="AD43" s="15"/>
      <c r="AE43" s="18"/>
      <c r="AF43" s="19"/>
      <c r="AG43" s="18"/>
      <c r="AH43" s="18"/>
      <c r="AI43" s="18"/>
      <c r="AJ43" s="18"/>
      <c r="AK43" s="18">
        <v>15</v>
      </c>
      <c r="AL43" s="18"/>
      <c r="AM43" s="18">
        <v>36</v>
      </c>
      <c r="AN43" s="18"/>
      <c r="AO43" s="18"/>
      <c r="AP43" s="18"/>
      <c r="AQ43" s="18"/>
      <c r="AR43" s="18"/>
      <c r="AS43" s="18">
        <v>9</v>
      </c>
      <c r="AT43" s="18"/>
      <c r="AU43" s="18"/>
      <c r="AV43" s="18"/>
      <c r="AW43" s="18"/>
      <c r="AX43" s="18"/>
      <c r="AY43" s="18"/>
      <c r="AZ43" s="18"/>
      <c r="BA43" s="18"/>
      <c r="BB43" s="18">
        <f t="shared" si="1"/>
        <v>60</v>
      </c>
    </row>
    <row r="44" spans="1:54" x14ac:dyDescent="0.3">
      <c r="A44" s="17" t="s">
        <v>96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9"/>
      <c r="M44" s="18"/>
      <c r="N44" s="18">
        <v>3</v>
      </c>
      <c r="O44" s="18">
        <v>4</v>
      </c>
      <c r="P44" s="18">
        <v>4</v>
      </c>
      <c r="Q44" s="18">
        <v>4</v>
      </c>
      <c r="R44" s="18">
        <v>4</v>
      </c>
      <c r="S44" s="18">
        <v>4</v>
      </c>
      <c r="T44" s="18">
        <v>4</v>
      </c>
      <c r="U44" s="18">
        <v>4</v>
      </c>
      <c r="V44" s="18">
        <v>4</v>
      </c>
      <c r="W44" s="18">
        <f t="shared" si="0"/>
        <v>35</v>
      </c>
      <c r="X44" s="16">
        <v>3014</v>
      </c>
      <c r="Y44" s="12">
        <v>17</v>
      </c>
      <c r="Z44" s="12">
        <v>0</v>
      </c>
      <c r="AA44" s="13">
        <v>2</v>
      </c>
      <c r="AB44" s="14" t="e">
        <v>#N/A</v>
      </c>
      <c r="AC44" s="14" t="e">
        <v>#N/A</v>
      </c>
      <c r="AD44" s="15"/>
      <c r="AE44" s="18"/>
      <c r="AF44" s="19"/>
      <c r="AG44" s="18"/>
      <c r="AH44" s="18"/>
      <c r="AI44" s="18"/>
      <c r="AJ44" s="18">
        <v>24</v>
      </c>
      <c r="AK44" s="18"/>
      <c r="AL44" s="18"/>
      <c r="AM44" s="18"/>
      <c r="AN44" s="18"/>
      <c r="AO44" s="18"/>
      <c r="AP44" s="18">
        <v>11</v>
      </c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>
        <f t="shared" si="1"/>
        <v>35</v>
      </c>
    </row>
    <row r="45" spans="1:54" x14ac:dyDescent="0.3">
      <c r="A45" s="17" t="s">
        <v>97</v>
      </c>
      <c r="B45" s="18"/>
      <c r="C45" s="18"/>
      <c r="D45" s="18"/>
      <c r="E45" s="18"/>
      <c r="F45" s="18"/>
      <c r="G45" s="18"/>
      <c r="H45" s="18"/>
      <c r="I45" s="18"/>
      <c r="J45" s="18"/>
      <c r="K45" s="18">
        <v>5</v>
      </c>
      <c r="L45" s="19">
        <v>4</v>
      </c>
      <c r="M45" s="18">
        <v>2</v>
      </c>
      <c r="N45" s="18">
        <v>4</v>
      </c>
      <c r="O45" s="18">
        <v>4</v>
      </c>
      <c r="P45" s="18">
        <v>6</v>
      </c>
      <c r="Q45" s="18">
        <v>4</v>
      </c>
      <c r="R45" s="18">
        <v>4</v>
      </c>
      <c r="S45" s="18">
        <v>4</v>
      </c>
      <c r="T45" s="18">
        <v>2</v>
      </c>
      <c r="U45" s="18">
        <v>4</v>
      </c>
      <c r="V45" s="18">
        <v>4</v>
      </c>
      <c r="W45" s="18">
        <f t="shared" si="0"/>
        <v>47</v>
      </c>
      <c r="X45" s="16">
        <v>3014</v>
      </c>
      <c r="Y45" s="12">
        <v>17</v>
      </c>
      <c r="Z45" s="12">
        <v>0</v>
      </c>
      <c r="AA45" s="13">
        <v>2</v>
      </c>
      <c r="AB45" s="14" t="e">
        <v>#N/A</v>
      </c>
      <c r="AC45" s="14" t="e">
        <v>#N/A</v>
      </c>
      <c r="AD45" s="15"/>
      <c r="AE45" s="18"/>
      <c r="AF45" s="19"/>
      <c r="AG45" s="18">
        <v>2</v>
      </c>
      <c r="AH45" s="18"/>
      <c r="AI45" s="18">
        <v>30</v>
      </c>
      <c r="AJ45" s="18">
        <v>1</v>
      </c>
      <c r="AK45" s="18"/>
      <c r="AL45" s="18"/>
      <c r="AM45" s="18"/>
      <c r="AN45" s="18"/>
      <c r="AO45" s="18"/>
      <c r="AP45" s="18"/>
      <c r="AQ45" s="18">
        <v>14</v>
      </c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>
        <f t="shared" si="1"/>
        <v>47</v>
      </c>
    </row>
    <row r="46" spans="1:54" x14ac:dyDescent="0.3">
      <c r="A46" s="17" t="s">
        <v>99</v>
      </c>
      <c r="B46" s="18"/>
      <c r="C46" s="18"/>
      <c r="D46" s="18"/>
      <c r="E46" s="18"/>
      <c r="F46" s="18"/>
      <c r="G46" s="18"/>
      <c r="H46" s="18"/>
      <c r="I46" s="18"/>
      <c r="J46" s="18"/>
      <c r="K46" s="18">
        <v>1</v>
      </c>
      <c r="L46" s="19">
        <v>2</v>
      </c>
      <c r="M46" s="18">
        <v>2</v>
      </c>
      <c r="N46" s="18">
        <v>2</v>
      </c>
      <c r="O46" s="18">
        <v>2</v>
      </c>
      <c r="P46" s="18">
        <v>2</v>
      </c>
      <c r="Q46" s="18">
        <v>2</v>
      </c>
      <c r="R46" s="18">
        <v>2</v>
      </c>
      <c r="S46" s="18">
        <v>2</v>
      </c>
      <c r="T46" s="18">
        <v>2</v>
      </c>
      <c r="U46" s="18">
        <v>2</v>
      </c>
      <c r="V46" s="18">
        <v>2</v>
      </c>
      <c r="W46" s="18">
        <f t="shared" si="0"/>
        <v>23</v>
      </c>
      <c r="X46" s="16">
        <v>3014</v>
      </c>
      <c r="Y46" s="12">
        <v>8</v>
      </c>
      <c r="Z46" s="12">
        <v>0</v>
      </c>
      <c r="AA46" s="13">
        <v>1</v>
      </c>
      <c r="AB46" s="14" t="e">
        <v>#N/A</v>
      </c>
      <c r="AC46" s="14" t="e">
        <v>#N/A</v>
      </c>
      <c r="AD46" s="15"/>
      <c r="AE46" s="18"/>
      <c r="AF46" s="19"/>
      <c r="AG46" s="18"/>
      <c r="AH46" s="18">
        <v>4</v>
      </c>
      <c r="AI46" s="18"/>
      <c r="AJ46" s="18">
        <v>12</v>
      </c>
      <c r="AK46" s="18"/>
      <c r="AL46" s="18"/>
      <c r="AM46" s="18"/>
      <c r="AN46" s="18"/>
      <c r="AO46" s="18"/>
      <c r="AP46" s="18">
        <v>5</v>
      </c>
      <c r="AQ46" s="18"/>
      <c r="AR46" s="18">
        <v>2</v>
      </c>
      <c r="AS46" s="18"/>
      <c r="AT46" s="18"/>
      <c r="AU46" s="18"/>
      <c r="AV46" s="18"/>
      <c r="AW46" s="18"/>
      <c r="AX46" s="18"/>
      <c r="AY46" s="18"/>
      <c r="AZ46" s="18"/>
      <c r="BA46" s="18"/>
      <c r="BB46" s="18">
        <f t="shared" si="1"/>
        <v>23</v>
      </c>
    </row>
    <row r="47" spans="1:54" x14ac:dyDescent="0.3">
      <c r="A47" s="17" t="s">
        <v>101</v>
      </c>
      <c r="B47" s="18"/>
      <c r="C47" s="18"/>
      <c r="D47" s="18"/>
      <c r="E47" s="18"/>
      <c r="F47" s="18"/>
      <c r="G47" s="18"/>
      <c r="H47" s="18"/>
      <c r="I47" s="18"/>
      <c r="J47" s="18">
        <v>1</v>
      </c>
      <c r="K47" s="18">
        <v>2</v>
      </c>
      <c r="L47" s="19">
        <v>2</v>
      </c>
      <c r="M47" s="18">
        <v>2</v>
      </c>
      <c r="N47" s="18">
        <v>2</v>
      </c>
      <c r="O47" s="18">
        <v>2</v>
      </c>
      <c r="P47" s="18">
        <v>2</v>
      </c>
      <c r="Q47" s="18">
        <v>2</v>
      </c>
      <c r="R47" s="18">
        <v>2</v>
      </c>
      <c r="S47" s="18">
        <v>2</v>
      </c>
      <c r="T47" s="18">
        <v>2</v>
      </c>
      <c r="U47" s="18">
        <v>2</v>
      </c>
      <c r="V47" s="18">
        <v>2</v>
      </c>
      <c r="W47" s="18">
        <f t="shared" si="0"/>
        <v>25</v>
      </c>
      <c r="X47" s="16">
        <v>3014</v>
      </c>
      <c r="Y47" s="12">
        <v>8</v>
      </c>
      <c r="Z47" s="12">
        <v>0</v>
      </c>
      <c r="AA47" s="13">
        <v>1</v>
      </c>
      <c r="AB47" s="14" t="e">
        <v>#N/A</v>
      </c>
      <c r="AC47" s="14" t="e">
        <v>#N/A</v>
      </c>
      <c r="AD47" s="15"/>
      <c r="AE47" s="18"/>
      <c r="AF47" s="19"/>
      <c r="AG47" s="18">
        <v>4</v>
      </c>
      <c r="AH47" s="18"/>
      <c r="AI47" s="18">
        <v>3</v>
      </c>
      <c r="AJ47" s="18"/>
      <c r="AK47" s="18">
        <v>12</v>
      </c>
      <c r="AL47" s="18"/>
      <c r="AM47" s="18"/>
      <c r="AN47" s="18"/>
      <c r="AO47" s="18"/>
      <c r="AP47" s="18"/>
      <c r="AQ47" s="18">
        <v>6</v>
      </c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>
        <f t="shared" si="1"/>
        <v>25</v>
      </c>
    </row>
    <row r="48" spans="1:54" x14ac:dyDescent="0.3">
      <c r="A48" s="17" t="s">
        <v>105</v>
      </c>
      <c r="B48" s="18"/>
      <c r="C48" s="18"/>
      <c r="D48" s="18"/>
      <c r="E48" s="18"/>
      <c r="F48" s="18"/>
      <c r="G48" s="18"/>
      <c r="H48" s="18"/>
      <c r="I48" s="18"/>
      <c r="J48" s="18"/>
      <c r="K48" s="18">
        <v>1</v>
      </c>
      <c r="L48" s="19">
        <v>2</v>
      </c>
      <c r="M48" s="18">
        <v>1</v>
      </c>
      <c r="N48" s="18">
        <v>3</v>
      </c>
      <c r="O48" s="18">
        <v>2</v>
      </c>
      <c r="P48" s="18">
        <v>2</v>
      </c>
      <c r="Q48" s="18">
        <v>2</v>
      </c>
      <c r="R48" s="18">
        <v>2</v>
      </c>
      <c r="S48" s="18">
        <v>2</v>
      </c>
      <c r="T48" s="18">
        <v>2</v>
      </c>
      <c r="U48" s="18">
        <v>2</v>
      </c>
      <c r="V48" s="18">
        <v>2</v>
      </c>
      <c r="W48" s="18">
        <f t="shared" si="0"/>
        <v>23</v>
      </c>
      <c r="X48" s="16">
        <v>3014</v>
      </c>
      <c r="Y48" s="12">
        <v>8</v>
      </c>
      <c r="Z48" s="12">
        <v>0</v>
      </c>
      <c r="AA48" s="13">
        <v>1</v>
      </c>
      <c r="AB48" s="14" t="e">
        <v>#N/A</v>
      </c>
      <c r="AC48" s="14" t="e">
        <v>#N/A</v>
      </c>
      <c r="AD48" s="15"/>
      <c r="AE48" s="18"/>
      <c r="AF48" s="19"/>
      <c r="AG48" s="18"/>
      <c r="AH48" s="18"/>
      <c r="AI48" s="18"/>
      <c r="AJ48" s="18">
        <v>5</v>
      </c>
      <c r="AK48" s="18"/>
      <c r="AL48" s="18"/>
      <c r="AM48" s="18">
        <v>12</v>
      </c>
      <c r="AN48" s="18"/>
      <c r="AO48" s="18"/>
      <c r="AP48" s="18"/>
      <c r="AQ48" s="18"/>
      <c r="AR48" s="18"/>
      <c r="AS48" s="18">
        <v>6</v>
      </c>
      <c r="AT48" s="18"/>
      <c r="AU48" s="18"/>
      <c r="AV48" s="18"/>
      <c r="AW48" s="18"/>
      <c r="AX48" s="18"/>
      <c r="AY48" s="18"/>
      <c r="AZ48" s="18"/>
      <c r="BA48" s="18"/>
      <c r="BB48" s="18">
        <f t="shared" si="1"/>
        <v>23</v>
      </c>
    </row>
    <row r="49" spans="1:54" x14ac:dyDescent="0.3">
      <c r="A49" s="17" t="s">
        <v>107</v>
      </c>
      <c r="B49" s="18"/>
      <c r="C49" s="18"/>
      <c r="D49" s="18"/>
      <c r="E49" s="18"/>
      <c r="F49" s="18"/>
      <c r="G49" s="18"/>
      <c r="H49" s="18"/>
      <c r="I49" s="18"/>
      <c r="J49" s="18"/>
      <c r="K49" s="18">
        <v>2</v>
      </c>
      <c r="L49" s="19">
        <v>2</v>
      </c>
      <c r="M49" s="18">
        <v>2</v>
      </c>
      <c r="N49" s="18">
        <v>2</v>
      </c>
      <c r="O49" s="18">
        <v>2</v>
      </c>
      <c r="P49" s="18">
        <v>2</v>
      </c>
      <c r="Q49" s="18">
        <v>2</v>
      </c>
      <c r="R49" s="18">
        <v>2</v>
      </c>
      <c r="S49" s="18">
        <v>2</v>
      </c>
      <c r="T49" s="18">
        <v>2</v>
      </c>
      <c r="U49" s="18">
        <v>2</v>
      </c>
      <c r="V49" s="18">
        <v>2</v>
      </c>
      <c r="W49" s="18">
        <f t="shared" si="0"/>
        <v>24</v>
      </c>
      <c r="X49" s="16">
        <v>3014</v>
      </c>
      <c r="Y49" s="12">
        <v>8</v>
      </c>
      <c r="Z49" s="12">
        <v>0</v>
      </c>
      <c r="AA49" s="13">
        <v>1</v>
      </c>
      <c r="AB49" s="14" t="e">
        <v>#N/A</v>
      </c>
      <c r="AC49" s="14" t="e">
        <v>#N/A</v>
      </c>
      <c r="AD49" s="15"/>
      <c r="AE49" s="18"/>
      <c r="AF49" s="19"/>
      <c r="AG49" s="18"/>
      <c r="AH49" s="18">
        <v>12</v>
      </c>
      <c r="AI49" s="18"/>
      <c r="AJ49" s="18"/>
      <c r="AK49" s="18"/>
      <c r="AL49" s="18"/>
      <c r="AM49" s="18"/>
      <c r="AN49" s="18">
        <v>4</v>
      </c>
      <c r="AO49" s="18"/>
      <c r="AP49" s="18">
        <v>8</v>
      </c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>
        <f t="shared" si="1"/>
        <v>24</v>
      </c>
    </row>
    <row r="50" spans="1:54" x14ac:dyDescent="0.3">
      <c r="A50" s="17" t="s">
        <v>108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9">
        <v>1</v>
      </c>
      <c r="M50" s="18">
        <v>2</v>
      </c>
      <c r="N50" s="18">
        <v>2</v>
      </c>
      <c r="O50" s="18">
        <v>2</v>
      </c>
      <c r="P50" s="18">
        <v>2</v>
      </c>
      <c r="Q50" s="18">
        <v>2</v>
      </c>
      <c r="R50" s="18">
        <v>2</v>
      </c>
      <c r="S50" s="18">
        <v>3</v>
      </c>
      <c r="T50" s="18">
        <v>1</v>
      </c>
      <c r="U50" s="18">
        <v>2</v>
      </c>
      <c r="V50" s="18">
        <v>2</v>
      </c>
      <c r="W50" s="18">
        <f t="shared" si="0"/>
        <v>21</v>
      </c>
      <c r="X50" s="16">
        <v>3015</v>
      </c>
      <c r="Y50" s="12">
        <v>9</v>
      </c>
      <c r="Z50" s="12">
        <v>0</v>
      </c>
      <c r="AA50" s="13">
        <v>1</v>
      </c>
      <c r="AB50" s="14" t="e">
        <v>#N/A</v>
      </c>
      <c r="AC50" s="14" t="e">
        <v>#N/A</v>
      </c>
      <c r="AD50" s="15"/>
      <c r="AE50" s="18"/>
      <c r="AF50" s="19"/>
      <c r="AG50" s="18"/>
      <c r="AH50" s="18"/>
      <c r="AI50" s="18">
        <v>5</v>
      </c>
      <c r="AJ50" s="18"/>
      <c r="AK50" s="18">
        <v>12</v>
      </c>
      <c r="AL50" s="18"/>
      <c r="AM50" s="18"/>
      <c r="AN50" s="18"/>
      <c r="AO50" s="18"/>
      <c r="AP50" s="18"/>
      <c r="AQ50" s="18"/>
      <c r="AR50" s="18"/>
      <c r="AS50" s="18">
        <v>4</v>
      </c>
      <c r="AT50" s="18"/>
      <c r="AU50" s="18"/>
      <c r="AV50" s="18"/>
      <c r="AW50" s="18"/>
      <c r="AX50" s="18"/>
      <c r="AY50" s="18"/>
      <c r="AZ50" s="18"/>
      <c r="BA50" s="18"/>
      <c r="BB50" s="18">
        <f t="shared" si="1"/>
        <v>21</v>
      </c>
    </row>
    <row r="51" spans="1:54" x14ac:dyDescent="0.3">
      <c r="A51" s="17" t="s">
        <v>109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9">
        <v>1</v>
      </c>
      <c r="M51" s="18">
        <v>2</v>
      </c>
      <c r="N51" s="18">
        <v>2</v>
      </c>
      <c r="O51" s="18">
        <v>2</v>
      </c>
      <c r="P51" s="18">
        <v>2</v>
      </c>
      <c r="Q51" s="18">
        <v>2</v>
      </c>
      <c r="R51" s="18">
        <v>2</v>
      </c>
      <c r="S51" s="18">
        <v>3</v>
      </c>
      <c r="T51" s="18">
        <v>1</v>
      </c>
      <c r="U51" s="18">
        <v>2</v>
      </c>
      <c r="V51" s="18">
        <v>2</v>
      </c>
      <c r="W51" s="18">
        <f t="shared" si="0"/>
        <v>21</v>
      </c>
      <c r="X51" s="16">
        <v>3015</v>
      </c>
      <c r="Y51" s="12">
        <v>9</v>
      </c>
      <c r="Z51" s="12">
        <v>0</v>
      </c>
      <c r="AA51" s="13">
        <v>1</v>
      </c>
      <c r="AB51" s="14" t="e">
        <v>#N/A</v>
      </c>
      <c r="AC51" s="14" t="e">
        <v>#N/A</v>
      </c>
      <c r="AD51" s="15"/>
      <c r="AE51" s="18"/>
      <c r="AF51" s="19"/>
      <c r="AG51" s="18"/>
      <c r="AH51" s="18"/>
      <c r="AI51" s="18">
        <v>5</v>
      </c>
      <c r="AJ51" s="18"/>
      <c r="AK51" s="18">
        <v>3</v>
      </c>
      <c r="AL51" s="18"/>
      <c r="AM51" s="18">
        <v>13</v>
      </c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>
        <f t="shared" si="1"/>
        <v>21</v>
      </c>
    </row>
    <row r="52" spans="1:54" x14ac:dyDescent="0.3">
      <c r="A52" s="17" t="s">
        <v>111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9"/>
      <c r="M52" s="18">
        <v>2</v>
      </c>
      <c r="N52" s="18">
        <v>2</v>
      </c>
      <c r="O52" s="18">
        <v>2</v>
      </c>
      <c r="P52" s="18">
        <v>2</v>
      </c>
      <c r="Q52" s="18">
        <v>2</v>
      </c>
      <c r="R52" s="18">
        <v>2</v>
      </c>
      <c r="S52" s="18">
        <v>3</v>
      </c>
      <c r="T52" s="18">
        <v>1</v>
      </c>
      <c r="U52" s="18">
        <v>2</v>
      </c>
      <c r="V52" s="18">
        <v>2</v>
      </c>
      <c r="W52" s="18">
        <f t="shared" si="0"/>
        <v>20</v>
      </c>
      <c r="X52" s="16">
        <v>3015</v>
      </c>
      <c r="Y52" s="12">
        <v>9</v>
      </c>
      <c r="Z52" s="12">
        <v>0</v>
      </c>
      <c r="AA52" s="13">
        <v>1</v>
      </c>
      <c r="AB52" s="14" t="e">
        <v>#N/A</v>
      </c>
      <c r="AC52" s="14" t="e">
        <v>#N/A</v>
      </c>
      <c r="AD52" s="15"/>
      <c r="AE52" s="18"/>
      <c r="AF52" s="19"/>
      <c r="AG52" s="18">
        <v>1</v>
      </c>
      <c r="AH52" s="18"/>
      <c r="AI52" s="18">
        <v>1</v>
      </c>
      <c r="AJ52" s="18">
        <v>2</v>
      </c>
      <c r="AK52" s="18">
        <v>12</v>
      </c>
      <c r="AL52" s="18"/>
      <c r="AM52" s="18"/>
      <c r="AN52" s="18"/>
      <c r="AO52" s="18"/>
      <c r="AP52" s="18"/>
      <c r="AQ52" s="18">
        <v>4</v>
      </c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>
        <f t="shared" si="1"/>
        <v>20</v>
      </c>
    </row>
    <row r="53" spans="1:54" x14ac:dyDescent="0.3">
      <c r="A53" s="17" t="s">
        <v>113</v>
      </c>
      <c r="B53" s="18"/>
      <c r="C53" s="18"/>
      <c r="D53" s="18"/>
      <c r="E53" s="18"/>
      <c r="F53" s="18"/>
      <c r="G53" s="18"/>
      <c r="H53" s="18"/>
      <c r="I53" s="18"/>
      <c r="J53" s="18"/>
      <c r="K53" s="18">
        <v>1</v>
      </c>
      <c r="L53" s="19">
        <v>2</v>
      </c>
      <c r="M53" s="18">
        <v>2</v>
      </c>
      <c r="N53" s="18">
        <v>2</v>
      </c>
      <c r="O53" s="18">
        <v>2</v>
      </c>
      <c r="P53" s="18">
        <v>2</v>
      </c>
      <c r="Q53" s="18">
        <v>2</v>
      </c>
      <c r="R53" s="18">
        <v>2</v>
      </c>
      <c r="S53" s="18">
        <v>2</v>
      </c>
      <c r="T53" s="18">
        <v>2</v>
      </c>
      <c r="U53" s="18">
        <v>2</v>
      </c>
      <c r="V53" s="18">
        <v>2</v>
      </c>
      <c r="W53" s="18">
        <f t="shared" si="0"/>
        <v>23</v>
      </c>
      <c r="X53" s="16">
        <v>3015</v>
      </c>
      <c r="Y53" s="12">
        <v>9</v>
      </c>
      <c r="Z53" s="12">
        <v>0</v>
      </c>
      <c r="AA53" s="13">
        <v>1</v>
      </c>
      <c r="AB53" s="14" t="e">
        <v>#N/A</v>
      </c>
      <c r="AC53" s="14" t="e">
        <v>#N/A</v>
      </c>
      <c r="AD53" s="15"/>
      <c r="AE53" s="18"/>
      <c r="AF53" s="19"/>
      <c r="AG53" s="18">
        <v>8</v>
      </c>
      <c r="AH53" s="18"/>
      <c r="AI53" s="18">
        <v>13</v>
      </c>
      <c r="AJ53" s="18"/>
      <c r="AK53" s="18"/>
      <c r="AL53" s="18"/>
      <c r="AM53" s="18"/>
      <c r="AN53" s="18"/>
      <c r="AO53" s="18">
        <v>2</v>
      </c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>
        <f t="shared" si="1"/>
        <v>23</v>
      </c>
    </row>
    <row r="54" spans="1:54" x14ac:dyDescent="0.3">
      <c r="A54" s="17" t="s">
        <v>115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9"/>
      <c r="M54" s="18"/>
      <c r="N54" s="18">
        <v>4</v>
      </c>
      <c r="O54" s="18">
        <v>8</v>
      </c>
      <c r="P54" s="18">
        <v>8</v>
      </c>
      <c r="Q54" s="18">
        <v>8</v>
      </c>
      <c r="R54" s="18">
        <v>8</v>
      </c>
      <c r="S54" s="18">
        <v>8</v>
      </c>
      <c r="T54" s="18">
        <v>8</v>
      </c>
      <c r="U54" s="18">
        <v>8</v>
      </c>
      <c r="V54" s="18">
        <v>8</v>
      </c>
      <c r="W54" s="18">
        <f t="shared" si="0"/>
        <v>68</v>
      </c>
      <c r="X54" s="16">
        <v>3015</v>
      </c>
      <c r="Y54" s="12">
        <v>36</v>
      </c>
      <c r="Z54" s="12">
        <v>0</v>
      </c>
      <c r="AA54" s="13">
        <v>4</v>
      </c>
      <c r="AB54" s="14" t="e">
        <v>#N/A</v>
      </c>
      <c r="AC54" s="14" t="e">
        <v>#N/A</v>
      </c>
      <c r="AD54" s="15"/>
      <c r="AE54" s="18"/>
      <c r="AF54" s="19"/>
      <c r="AG54" s="18"/>
      <c r="AH54" s="18">
        <v>12</v>
      </c>
      <c r="AI54" s="18"/>
      <c r="AJ54" s="18">
        <v>12</v>
      </c>
      <c r="AK54" s="18">
        <v>12</v>
      </c>
      <c r="AL54" s="18"/>
      <c r="AM54" s="18">
        <v>12</v>
      </c>
      <c r="AN54" s="18">
        <v>12</v>
      </c>
      <c r="AO54" s="18"/>
      <c r="AP54" s="18">
        <v>8</v>
      </c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>
        <f t="shared" si="1"/>
        <v>68</v>
      </c>
    </row>
    <row r="55" spans="1:54" x14ac:dyDescent="0.3">
      <c r="A55" s="17" t="s">
        <v>117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9"/>
      <c r="M55" s="18"/>
      <c r="N55" s="18">
        <v>4</v>
      </c>
      <c r="O55" s="18">
        <v>8</v>
      </c>
      <c r="P55" s="18">
        <v>8</v>
      </c>
      <c r="Q55" s="18">
        <v>8</v>
      </c>
      <c r="R55" s="18">
        <v>8</v>
      </c>
      <c r="S55" s="18">
        <v>8</v>
      </c>
      <c r="T55" s="18">
        <v>8</v>
      </c>
      <c r="U55" s="18">
        <v>8</v>
      </c>
      <c r="V55" s="18">
        <v>8</v>
      </c>
      <c r="W55" s="18">
        <f t="shared" si="0"/>
        <v>68</v>
      </c>
      <c r="X55" s="16">
        <v>3015</v>
      </c>
      <c r="Y55" s="12">
        <v>36</v>
      </c>
      <c r="Z55" s="12">
        <v>0</v>
      </c>
      <c r="AA55" s="13">
        <v>4</v>
      </c>
      <c r="AB55" s="14" t="e">
        <v>#N/A</v>
      </c>
      <c r="AC55" s="14" t="e">
        <v>#N/A</v>
      </c>
      <c r="AD55" s="15"/>
      <c r="AE55" s="18"/>
      <c r="AF55" s="19"/>
      <c r="AG55" s="18"/>
      <c r="AH55" s="18">
        <v>12</v>
      </c>
      <c r="AI55" s="18"/>
      <c r="AJ55" s="18">
        <v>12</v>
      </c>
      <c r="AK55" s="18">
        <v>12</v>
      </c>
      <c r="AL55" s="18"/>
      <c r="AM55" s="18">
        <v>12</v>
      </c>
      <c r="AN55" s="18">
        <v>12</v>
      </c>
      <c r="AO55" s="18"/>
      <c r="AP55" s="18">
        <v>8</v>
      </c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>
        <f t="shared" si="1"/>
        <v>68</v>
      </c>
    </row>
    <row r="56" spans="1:54" x14ac:dyDescent="0.3">
      <c r="A56" s="17" t="s">
        <v>118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9"/>
      <c r="M56" s="18"/>
      <c r="N56" s="18">
        <v>2</v>
      </c>
      <c r="O56" s="18">
        <v>4</v>
      </c>
      <c r="P56" s="18">
        <v>4</v>
      </c>
      <c r="Q56" s="18">
        <v>4</v>
      </c>
      <c r="R56" s="18">
        <v>4</v>
      </c>
      <c r="S56" s="18">
        <v>4</v>
      </c>
      <c r="T56" s="18">
        <v>4</v>
      </c>
      <c r="U56" s="18">
        <v>4</v>
      </c>
      <c r="V56" s="18">
        <v>4</v>
      </c>
      <c r="W56" s="18">
        <f t="shared" si="0"/>
        <v>34</v>
      </c>
      <c r="X56" s="16">
        <v>3015</v>
      </c>
      <c r="Y56" s="12">
        <v>18</v>
      </c>
      <c r="Z56" s="12">
        <v>0</v>
      </c>
      <c r="AA56" s="13">
        <v>2</v>
      </c>
      <c r="AB56" s="14" t="e">
        <v>#N/A</v>
      </c>
      <c r="AC56" s="14" t="e">
        <v>#N/A</v>
      </c>
      <c r="AD56" s="15"/>
      <c r="AE56" s="18"/>
      <c r="AF56" s="19"/>
      <c r="AG56" s="18"/>
      <c r="AH56" s="18">
        <v>6</v>
      </c>
      <c r="AI56" s="18"/>
      <c r="AJ56" s="18">
        <v>6</v>
      </c>
      <c r="AK56" s="18">
        <v>6</v>
      </c>
      <c r="AL56" s="18"/>
      <c r="AM56" s="18">
        <v>6</v>
      </c>
      <c r="AN56" s="18">
        <v>6</v>
      </c>
      <c r="AO56" s="18"/>
      <c r="AP56" s="18">
        <v>4</v>
      </c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>
        <f t="shared" si="1"/>
        <v>34</v>
      </c>
    </row>
    <row r="57" spans="1:54" x14ac:dyDescent="0.3">
      <c r="A57" s="17" t="s">
        <v>119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9">
        <v>2</v>
      </c>
      <c r="M57" s="18">
        <v>2</v>
      </c>
      <c r="N57" s="18">
        <v>2</v>
      </c>
      <c r="O57" s="18">
        <v>2</v>
      </c>
      <c r="P57" s="18">
        <v>2</v>
      </c>
      <c r="Q57" s="18">
        <v>2</v>
      </c>
      <c r="R57" s="18">
        <v>2</v>
      </c>
      <c r="S57" s="18">
        <v>2</v>
      </c>
      <c r="T57" s="18">
        <v>2</v>
      </c>
      <c r="U57" s="18">
        <v>2</v>
      </c>
      <c r="V57" s="18">
        <v>2</v>
      </c>
      <c r="W57" s="18">
        <f t="shared" si="0"/>
        <v>22</v>
      </c>
      <c r="X57" s="16">
        <v>3015</v>
      </c>
      <c r="Y57" s="12">
        <v>9</v>
      </c>
      <c r="Z57" s="12">
        <v>0</v>
      </c>
      <c r="AA57" s="13">
        <v>1</v>
      </c>
      <c r="AB57" s="14" t="e">
        <v>#N/A</v>
      </c>
      <c r="AC57" s="14" t="e">
        <v>#N/A</v>
      </c>
      <c r="AD57" s="15"/>
      <c r="AE57" s="18"/>
      <c r="AF57" s="19"/>
      <c r="AG57" s="18"/>
      <c r="AH57" s="18"/>
      <c r="AI57" s="18"/>
      <c r="AJ57" s="18">
        <v>5</v>
      </c>
      <c r="AK57" s="18"/>
      <c r="AL57" s="18">
        <v>12</v>
      </c>
      <c r="AM57" s="18"/>
      <c r="AN57" s="18"/>
      <c r="AO57" s="18"/>
      <c r="AP57" s="18"/>
      <c r="AQ57" s="18"/>
      <c r="AR57" s="18">
        <v>5</v>
      </c>
      <c r="AS57" s="18"/>
      <c r="AT57" s="18"/>
      <c r="AU57" s="18"/>
      <c r="AV57" s="18"/>
      <c r="AW57" s="18"/>
      <c r="AX57" s="18"/>
      <c r="AY57" s="18"/>
      <c r="AZ57" s="18"/>
      <c r="BA57" s="18"/>
      <c r="BB57" s="18">
        <f t="shared" si="1"/>
        <v>22</v>
      </c>
    </row>
    <row r="58" spans="1:54" x14ac:dyDescent="0.3">
      <c r="A58" s="17" t="s">
        <v>121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9">
        <v>2</v>
      </c>
      <c r="M58" s="18">
        <v>1</v>
      </c>
      <c r="N58" s="18">
        <v>3</v>
      </c>
      <c r="O58" s="18">
        <v>2</v>
      </c>
      <c r="P58" s="18">
        <v>2</v>
      </c>
      <c r="Q58" s="18">
        <v>2</v>
      </c>
      <c r="R58" s="18">
        <v>2</v>
      </c>
      <c r="S58" s="18">
        <v>2</v>
      </c>
      <c r="T58" s="18">
        <v>2</v>
      </c>
      <c r="U58" s="18">
        <v>2</v>
      </c>
      <c r="V58" s="18">
        <v>2</v>
      </c>
      <c r="W58" s="18">
        <f t="shared" si="0"/>
        <v>22</v>
      </c>
      <c r="X58" s="16">
        <v>3015</v>
      </c>
      <c r="Y58" s="12">
        <v>9</v>
      </c>
      <c r="Z58" s="12">
        <v>0</v>
      </c>
      <c r="AA58" s="13">
        <v>1</v>
      </c>
      <c r="AB58" s="14" t="e">
        <v>#N/A</v>
      </c>
      <c r="AC58" s="14" t="e">
        <v>#N/A</v>
      </c>
      <c r="AD58" s="15"/>
      <c r="AE58" s="18"/>
      <c r="AF58" s="19"/>
      <c r="AG58" s="18">
        <v>4</v>
      </c>
      <c r="AH58" s="18"/>
      <c r="AI58" s="18"/>
      <c r="AJ58" s="18">
        <v>5</v>
      </c>
      <c r="AK58" s="18"/>
      <c r="AL58" s="18"/>
      <c r="AM58" s="18">
        <v>12</v>
      </c>
      <c r="AN58" s="18"/>
      <c r="AO58" s="18"/>
      <c r="AP58" s="18"/>
      <c r="AQ58" s="18"/>
      <c r="AR58" s="18"/>
      <c r="AS58" s="18">
        <v>1</v>
      </c>
      <c r="AT58" s="18"/>
      <c r="AU58" s="18"/>
      <c r="AV58" s="18"/>
      <c r="AW58" s="18"/>
      <c r="AX58" s="18"/>
      <c r="AY58" s="18"/>
      <c r="AZ58" s="18"/>
      <c r="BA58" s="18"/>
      <c r="BB58" s="18">
        <f t="shared" si="1"/>
        <v>22</v>
      </c>
    </row>
    <row r="59" spans="1:54" x14ac:dyDescent="0.3">
      <c r="A59" s="17" t="s">
        <v>123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9"/>
      <c r="M59" s="18"/>
      <c r="N59" s="18">
        <v>3</v>
      </c>
      <c r="O59" s="18">
        <v>4</v>
      </c>
      <c r="P59" s="18">
        <v>4</v>
      </c>
      <c r="Q59" s="18">
        <v>4</v>
      </c>
      <c r="R59" s="18">
        <v>4</v>
      </c>
      <c r="S59" s="18">
        <v>6</v>
      </c>
      <c r="T59" s="18">
        <v>2</v>
      </c>
      <c r="U59" s="18">
        <v>4</v>
      </c>
      <c r="V59" s="18">
        <v>4</v>
      </c>
      <c r="W59" s="18">
        <f t="shared" si="0"/>
        <v>35</v>
      </c>
      <c r="X59" s="16">
        <v>3016</v>
      </c>
      <c r="Y59" s="12">
        <v>21</v>
      </c>
      <c r="Z59" s="12">
        <v>0</v>
      </c>
      <c r="AA59" s="13">
        <v>2</v>
      </c>
      <c r="AB59" s="14" t="e">
        <v>#N/A</v>
      </c>
      <c r="AC59" s="14" t="e">
        <v>#N/A</v>
      </c>
      <c r="AD59" s="15"/>
      <c r="AE59" s="18"/>
      <c r="AF59" s="19"/>
      <c r="AG59" s="18"/>
      <c r="AH59" s="18">
        <v>1</v>
      </c>
      <c r="AI59" s="18"/>
      <c r="AJ59" s="18"/>
      <c r="AK59" s="18">
        <v>10</v>
      </c>
      <c r="AL59" s="18"/>
      <c r="AM59" s="18">
        <v>24</v>
      </c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>
        <f t="shared" si="1"/>
        <v>35</v>
      </c>
    </row>
    <row r="60" spans="1:54" x14ac:dyDescent="0.3">
      <c r="A60" s="17" t="s">
        <v>125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9"/>
      <c r="M60" s="18">
        <v>1</v>
      </c>
      <c r="N60" s="18">
        <v>2</v>
      </c>
      <c r="O60" s="18">
        <v>2</v>
      </c>
      <c r="P60" s="18">
        <v>2</v>
      </c>
      <c r="Q60" s="18">
        <v>2</v>
      </c>
      <c r="R60" s="18">
        <v>2</v>
      </c>
      <c r="S60" s="18">
        <v>3</v>
      </c>
      <c r="T60" s="18">
        <v>1</v>
      </c>
      <c r="U60" s="18">
        <v>2</v>
      </c>
      <c r="V60" s="18">
        <v>2</v>
      </c>
      <c r="W60" s="18">
        <f t="shared" si="0"/>
        <v>19</v>
      </c>
      <c r="X60" s="16">
        <v>3016</v>
      </c>
      <c r="Y60" s="12">
        <v>10</v>
      </c>
      <c r="Z60" s="12">
        <v>0</v>
      </c>
      <c r="AA60" s="13">
        <v>1</v>
      </c>
      <c r="AB60" s="14" t="e">
        <v>#N/A</v>
      </c>
      <c r="AC60" s="14" t="e">
        <v>#N/A</v>
      </c>
      <c r="AD60" s="15"/>
      <c r="AE60" s="18"/>
      <c r="AF60" s="19"/>
      <c r="AG60" s="18"/>
      <c r="AH60" s="18"/>
      <c r="AI60" s="18"/>
      <c r="AJ60" s="18">
        <v>3</v>
      </c>
      <c r="AK60" s="18">
        <v>4</v>
      </c>
      <c r="AL60" s="18"/>
      <c r="AM60" s="18">
        <v>4</v>
      </c>
      <c r="AN60" s="18"/>
      <c r="AO60" s="18">
        <v>4</v>
      </c>
      <c r="AP60" s="18"/>
      <c r="AQ60" s="18">
        <v>4</v>
      </c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>
        <f t="shared" si="1"/>
        <v>19</v>
      </c>
    </row>
    <row r="61" spans="1:54" x14ac:dyDescent="0.3">
      <c r="A61" s="17" t="s">
        <v>126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9"/>
      <c r="M61" s="18"/>
      <c r="N61" s="18">
        <v>15</v>
      </c>
      <c r="O61" s="18">
        <v>16</v>
      </c>
      <c r="P61" s="18">
        <v>16</v>
      </c>
      <c r="Q61" s="18">
        <v>16</v>
      </c>
      <c r="R61" s="18">
        <v>16</v>
      </c>
      <c r="S61" s="18">
        <v>24</v>
      </c>
      <c r="T61" s="18">
        <v>8</v>
      </c>
      <c r="U61" s="18">
        <v>16</v>
      </c>
      <c r="V61" s="18">
        <v>16</v>
      </c>
      <c r="W61" s="18">
        <f t="shared" si="0"/>
        <v>143</v>
      </c>
      <c r="X61" s="16">
        <v>3016</v>
      </c>
      <c r="Y61" s="12">
        <v>81</v>
      </c>
      <c r="Z61" s="12">
        <v>0</v>
      </c>
      <c r="AA61" s="13">
        <v>8</v>
      </c>
      <c r="AB61" s="14" t="e">
        <v>#N/A</v>
      </c>
      <c r="AC61" s="14" t="e">
        <v>#N/A</v>
      </c>
      <c r="AD61" s="15"/>
      <c r="AE61" s="18"/>
      <c r="AF61" s="19"/>
      <c r="AG61" s="18"/>
      <c r="AH61" s="18">
        <v>25</v>
      </c>
      <c r="AI61" s="18">
        <v>48</v>
      </c>
      <c r="AJ61" s="18"/>
      <c r="AK61" s="18"/>
      <c r="AL61" s="18">
        <v>48</v>
      </c>
      <c r="AM61" s="18"/>
      <c r="AN61" s="18"/>
      <c r="AO61" s="18">
        <v>22</v>
      </c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>
        <f t="shared" si="1"/>
        <v>143</v>
      </c>
    </row>
    <row r="62" spans="1:54" x14ac:dyDescent="0.3">
      <c r="A62" s="17" t="s">
        <v>129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9">
        <v>2</v>
      </c>
      <c r="M62" s="18">
        <v>2</v>
      </c>
      <c r="N62" s="18">
        <v>2</v>
      </c>
      <c r="O62" s="18">
        <v>2</v>
      </c>
      <c r="P62" s="18">
        <v>2</v>
      </c>
      <c r="Q62" s="18">
        <v>2</v>
      </c>
      <c r="R62" s="18">
        <v>2</v>
      </c>
      <c r="S62" s="18">
        <v>2</v>
      </c>
      <c r="T62" s="18">
        <v>2</v>
      </c>
      <c r="U62" s="18">
        <v>2</v>
      </c>
      <c r="V62" s="18">
        <v>2</v>
      </c>
      <c r="W62" s="18">
        <f t="shared" si="0"/>
        <v>22</v>
      </c>
      <c r="X62" s="16">
        <v>3016</v>
      </c>
      <c r="Y62" s="12">
        <v>10</v>
      </c>
      <c r="Z62" s="12">
        <v>0</v>
      </c>
      <c r="AA62" s="13">
        <v>1</v>
      </c>
      <c r="AB62" s="14" t="e">
        <v>#N/A</v>
      </c>
      <c r="AC62" s="14" t="e">
        <v>#N/A</v>
      </c>
      <c r="AD62" s="15"/>
      <c r="AE62" s="18"/>
      <c r="AF62" s="19"/>
      <c r="AG62" s="18"/>
      <c r="AH62" s="18">
        <v>3</v>
      </c>
      <c r="AI62" s="18"/>
      <c r="AJ62" s="18">
        <v>12</v>
      </c>
      <c r="AK62" s="18"/>
      <c r="AL62" s="18"/>
      <c r="AM62" s="18"/>
      <c r="AN62" s="18"/>
      <c r="AO62" s="18"/>
      <c r="AP62" s="18">
        <v>7</v>
      </c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>
        <f t="shared" si="1"/>
        <v>22</v>
      </c>
    </row>
    <row r="63" spans="1:54" x14ac:dyDescent="0.3">
      <c r="A63" s="17" t="s">
        <v>130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9">
        <v>1</v>
      </c>
      <c r="M63" s="18">
        <v>1</v>
      </c>
      <c r="N63" s="18">
        <v>3</v>
      </c>
      <c r="O63" s="18">
        <v>2</v>
      </c>
      <c r="P63" s="18">
        <v>2</v>
      </c>
      <c r="Q63" s="18">
        <v>2</v>
      </c>
      <c r="R63" s="18">
        <v>2</v>
      </c>
      <c r="S63" s="18">
        <v>2</v>
      </c>
      <c r="T63" s="18">
        <v>2</v>
      </c>
      <c r="U63" s="18">
        <v>2</v>
      </c>
      <c r="V63" s="18">
        <v>2</v>
      </c>
      <c r="W63" s="18">
        <f t="shared" si="0"/>
        <v>21</v>
      </c>
      <c r="X63" s="16">
        <v>3016</v>
      </c>
      <c r="Y63" s="12">
        <v>10</v>
      </c>
      <c r="Z63" s="12">
        <v>0</v>
      </c>
      <c r="AA63" s="13">
        <v>1</v>
      </c>
      <c r="AB63" s="14" t="e">
        <v>#N/A</v>
      </c>
      <c r="AC63" s="14" t="e">
        <v>#N/A</v>
      </c>
      <c r="AD63" s="15"/>
      <c r="AE63" s="18"/>
      <c r="AF63" s="19"/>
      <c r="AG63" s="18"/>
      <c r="AH63" s="18"/>
      <c r="AI63" s="18">
        <v>4</v>
      </c>
      <c r="AJ63" s="18"/>
      <c r="AK63" s="18">
        <v>12</v>
      </c>
      <c r="AL63" s="18"/>
      <c r="AM63" s="18"/>
      <c r="AN63" s="18"/>
      <c r="AO63" s="18"/>
      <c r="AP63" s="18"/>
      <c r="AQ63" s="18">
        <v>5</v>
      </c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>
        <f t="shared" si="1"/>
        <v>21</v>
      </c>
    </row>
    <row r="64" spans="1:54" x14ac:dyDescent="0.3">
      <c r="A64" s="17" t="s">
        <v>131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9">
        <v>1</v>
      </c>
      <c r="M64" s="18">
        <v>2</v>
      </c>
      <c r="N64" s="18">
        <v>2</v>
      </c>
      <c r="O64" s="18">
        <v>2</v>
      </c>
      <c r="P64" s="18">
        <v>2</v>
      </c>
      <c r="Q64" s="18">
        <v>2</v>
      </c>
      <c r="R64" s="18">
        <v>2</v>
      </c>
      <c r="S64" s="18">
        <v>2</v>
      </c>
      <c r="T64" s="18">
        <v>2</v>
      </c>
      <c r="U64" s="18">
        <v>2</v>
      </c>
      <c r="V64" s="18">
        <v>2</v>
      </c>
      <c r="W64" s="18">
        <f t="shared" si="0"/>
        <v>21</v>
      </c>
      <c r="X64" s="16">
        <v>3016</v>
      </c>
      <c r="Y64" s="12">
        <v>10</v>
      </c>
      <c r="Z64" s="12">
        <v>0</v>
      </c>
      <c r="AA64" s="13">
        <v>1</v>
      </c>
      <c r="AB64" s="14" t="e">
        <v>#N/A</v>
      </c>
      <c r="AC64" s="14" t="e">
        <v>#N/A</v>
      </c>
      <c r="AD64" s="15"/>
      <c r="AE64" s="18"/>
      <c r="AF64" s="19"/>
      <c r="AG64" s="18">
        <v>1</v>
      </c>
      <c r="AH64" s="18"/>
      <c r="AI64" s="18">
        <v>1</v>
      </c>
      <c r="AJ64" s="18">
        <v>13</v>
      </c>
      <c r="AK64" s="18"/>
      <c r="AL64" s="18"/>
      <c r="AM64" s="18"/>
      <c r="AN64" s="18"/>
      <c r="AO64" s="18"/>
      <c r="AP64" s="18">
        <v>6</v>
      </c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>
        <f t="shared" si="1"/>
        <v>21</v>
      </c>
    </row>
    <row r="65" spans="1:54" x14ac:dyDescent="0.3">
      <c r="A65" s="17" t="s">
        <v>133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9">
        <v>1</v>
      </c>
      <c r="M65" s="18">
        <v>2</v>
      </c>
      <c r="N65" s="18">
        <v>2</v>
      </c>
      <c r="O65" s="18">
        <v>2</v>
      </c>
      <c r="P65" s="18">
        <v>2</v>
      </c>
      <c r="Q65" s="18">
        <v>2</v>
      </c>
      <c r="R65" s="18">
        <v>2</v>
      </c>
      <c r="S65" s="18">
        <v>2</v>
      </c>
      <c r="T65" s="18">
        <v>2</v>
      </c>
      <c r="U65" s="18">
        <v>2</v>
      </c>
      <c r="V65" s="18">
        <v>2</v>
      </c>
      <c r="W65" s="18">
        <f t="shared" si="0"/>
        <v>21</v>
      </c>
      <c r="X65" s="16">
        <v>3016</v>
      </c>
      <c r="Y65" s="12">
        <v>10</v>
      </c>
      <c r="Z65" s="12">
        <v>0</v>
      </c>
      <c r="AA65" s="13">
        <v>1</v>
      </c>
      <c r="AB65" s="14" t="e">
        <v>#N/A</v>
      </c>
      <c r="AC65" s="14" t="e">
        <v>#N/A</v>
      </c>
      <c r="AD65" s="15"/>
      <c r="AE65" s="18"/>
      <c r="AF65" s="19"/>
      <c r="AG65" s="18">
        <v>1</v>
      </c>
      <c r="AH65" s="18"/>
      <c r="AI65" s="18">
        <v>1</v>
      </c>
      <c r="AJ65" s="18">
        <v>13</v>
      </c>
      <c r="AK65" s="18"/>
      <c r="AL65" s="18"/>
      <c r="AM65" s="18"/>
      <c r="AN65" s="18"/>
      <c r="AO65" s="18"/>
      <c r="AP65" s="18">
        <v>6</v>
      </c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>
        <f t="shared" si="1"/>
        <v>21</v>
      </c>
    </row>
    <row r="66" spans="1:54" x14ac:dyDescent="0.3">
      <c r="A66" s="17" t="s">
        <v>135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9">
        <v>1</v>
      </c>
      <c r="M66" s="18">
        <v>2</v>
      </c>
      <c r="N66" s="18">
        <v>2</v>
      </c>
      <c r="O66" s="18">
        <v>2</v>
      </c>
      <c r="P66" s="18">
        <v>2</v>
      </c>
      <c r="Q66" s="18">
        <v>2</v>
      </c>
      <c r="R66" s="18">
        <v>2</v>
      </c>
      <c r="S66" s="18">
        <v>2</v>
      </c>
      <c r="T66" s="18">
        <v>2</v>
      </c>
      <c r="U66" s="18">
        <v>2</v>
      </c>
      <c r="V66" s="18">
        <v>2</v>
      </c>
      <c r="W66" s="18">
        <f t="shared" si="0"/>
        <v>21</v>
      </c>
      <c r="X66" s="16">
        <v>3016</v>
      </c>
      <c r="Y66" s="12">
        <v>10</v>
      </c>
      <c r="Z66" s="12">
        <v>0</v>
      </c>
      <c r="AA66" s="13">
        <v>1</v>
      </c>
      <c r="AB66" s="14" t="e">
        <v>#N/A</v>
      </c>
      <c r="AC66" s="14" t="e">
        <v>#N/A</v>
      </c>
      <c r="AD66" s="15"/>
      <c r="AE66" s="18"/>
      <c r="AF66" s="19"/>
      <c r="AG66" s="18">
        <v>3</v>
      </c>
      <c r="AH66" s="18"/>
      <c r="AI66" s="18"/>
      <c r="AJ66" s="18"/>
      <c r="AK66" s="18"/>
      <c r="AL66" s="18"/>
      <c r="AM66" s="18"/>
      <c r="AN66" s="18"/>
      <c r="AO66" s="18">
        <v>11</v>
      </c>
      <c r="AP66" s="18">
        <v>7</v>
      </c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>
        <f t="shared" si="1"/>
        <v>21</v>
      </c>
    </row>
    <row r="67" spans="1:54" x14ac:dyDescent="0.3">
      <c r="A67" s="17" t="s">
        <v>138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9">
        <v>2</v>
      </c>
      <c r="M67" s="18">
        <v>2</v>
      </c>
      <c r="N67" s="18">
        <v>1</v>
      </c>
      <c r="O67" s="18">
        <v>3</v>
      </c>
      <c r="P67" s="18">
        <v>2</v>
      </c>
      <c r="Q67" s="18">
        <v>2</v>
      </c>
      <c r="R67" s="18">
        <v>2</v>
      </c>
      <c r="S67" s="18">
        <v>2</v>
      </c>
      <c r="T67" s="18">
        <v>1</v>
      </c>
      <c r="U67" s="18">
        <v>2</v>
      </c>
      <c r="V67" s="18">
        <v>3</v>
      </c>
      <c r="W67" s="18">
        <f t="shared" ref="W67:W130" si="2">SUM(B67:V67)</f>
        <v>22</v>
      </c>
      <c r="X67" s="16">
        <v>3016</v>
      </c>
      <c r="Y67" s="12">
        <v>10</v>
      </c>
      <c r="Z67" s="12">
        <v>0</v>
      </c>
      <c r="AA67" s="13">
        <v>1</v>
      </c>
      <c r="AB67" s="14">
        <v>201634303</v>
      </c>
      <c r="AC67" s="14">
        <v>38</v>
      </c>
      <c r="AD67" s="15"/>
      <c r="AE67" s="18"/>
      <c r="AF67" s="19"/>
      <c r="AG67" s="18"/>
      <c r="AH67" s="18"/>
      <c r="AI67" s="18"/>
      <c r="AJ67" s="18">
        <v>4</v>
      </c>
      <c r="AK67" s="18"/>
      <c r="AL67" s="18">
        <v>12</v>
      </c>
      <c r="AM67" s="18"/>
      <c r="AN67" s="18"/>
      <c r="AO67" s="18"/>
      <c r="AP67" s="18"/>
      <c r="AQ67" s="18"/>
      <c r="AR67" s="18"/>
      <c r="AS67" s="18">
        <v>6</v>
      </c>
      <c r="AT67" s="18"/>
      <c r="AU67" s="18"/>
      <c r="AV67" s="18"/>
      <c r="AW67" s="18"/>
      <c r="AX67" s="18"/>
      <c r="AY67" s="18"/>
      <c r="AZ67" s="18"/>
      <c r="BA67" s="18"/>
      <c r="BB67" s="18">
        <f t="shared" ref="BB67:BB130" si="3">SUM(AE67:BA67)</f>
        <v>22</v>
      </c>
    </row>
    <row r="68" spans="1:54" x14ac:dyDescent="0.3">
      <c r="A68" s="17" t="s">
        <v>32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9"/>
      <c r="M68" s="18"/>
      <c r="N68" s="18"/>
      <c r="O68" s="18"/>
      <c r="P68" s="18">
        <v>3</v>
      </c>
      <c r="Q68" s="18">
        <v>4</v>
      </c>
      <c r="R68" s="18">
        <v>4</v>
      </c>
      <c r="S68" s="18">
        <v>6</v>
      </c>
      <c r="T68" s="18">
        <v>2</v>
      </c>
      <c r="U68" s="18">
        <v>4</v>
      </c>
      <c r="V68" s="18">
        <v>4</v>
      </c>
      <c r="W68" s="18">
        <f t="shared" si="2"/>
        <v>27</v>
      </c>
      <c r="X68" s="16">
        <v>3017</v>
      </c>
      <c r="Y68" s="12">
        <v>23</v>
      </c>
      <c r="Z68" s="12">
        <v>0</v>
      </c>
      <c r="AA68" s="13">
        <v>2</v>
      </c>
      <c r="AB68" s="14" t="e">
        <v>#N/A</v>
      </c>
      <c r="AC68" s="14" t="e">
        <v>#N/A</v>
      </c>
      <c r="AD68" s="15"/>
      <c r="AE68" s="18"/>
      <c r="AF68" s="19"/>
      <c r="AG68" s="18"/>
      <c r="AH68" s="18"/>
      <c r="AI68" s="18"/>
      <c r="AJ68" s="18"/>
      <c r="AK68" s="18"/>
      <c r="AL68" s="18">
        <v>12</v>
      </c>
      <c r="AM68" s="18"/>
      <c r="AN68" s="18"/>
      <c r="AO68" s="18">
        <v>3</v>
      </c>
      <c r="AP68" s="18">
        <v>12</v>
      </c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>
        <f t="shared" si="3"/>
        <v>27</v>
      </c>
    </row>
    <row r="69" spans="1:54" x14ac:dyDescent="0.3">
      <c r="A69" s="17" t="s">
        <v>144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9">
        <v>1</v>
      </c>
      <c r="M69" s="18">
        <v>2</v>
      </c>
      <c r="N69" s="18">
        <v>1</v>
      </c>
      <c r="O69" s="18">
        <v>3</v>
      </c>
      <c r="P69" s="18">
        <v>2</v>
      </c>
      <c r="Q69" s="18">
        <v>2</v>
      </c>
      <c r="R69" s="18">
        <v>2</v>
      </c>
      <c r="S69" s="18">
        <v>2</v>
      </c>
      <c r="T69" s="18">
        <v>1</v>
      </c>
      <c r="U69" s="18">
        <v>2</v>
      </c>
      <c r="V69" s="18">
        <v>3</v>
      </c>
      <c r="W69" s="18">
        <f t="shared" si="2"/>
        <v>21</v>
      </c>
      <c r="X69" s="16">
        <v>3017</v>
      </c>
      <c r="Y69" s="12">
        <v>11</v>
      </c>
      <c r="Z69" s="12">
        <v>0</v>
      </c>
      <c r="AA69" s="13">
        <v>1</v>
      </c>
      <c r="AB69" s="14" t="e">
        <v>#N/A</v>
      </c>
      <c r="AC69" s="14" t="e">
        <v>#N/A</v>
      </c>
      <c r="AD69" s="15"/>
      <c r="AE69" s="18"/>
      <c r="AF69" s="19"/>
      <c r="AG69" s="18"/>
      <c r="AH69" s="18"/>
      <c r="AI69" s="18"/>
      <c r="AJ69" s="18">
        <v>12</v>
      </c>
      <c r="AK69" s="18"/>
      <c r="AL69" s="18"/>
      <c r="AM69" s="18"/>
      <c r="AN69" s="18"/>
      <c r="AO69" s="18"/>
      <c r="AP69" s="18">
        <v>9</v>
      </c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>
        <f t="shared" si="3"/>
        <v>21</v>
      </c>
    </row>
    <row r="70" spans="1:54" x14ac:dyDescent="0.3">
      <c r="A70" s="17" t="s">
        <v>146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9"/>
      <c r="M70" s="18"/>
      <c r="N70" s="18">
        <v>1</v>
      </c>
      <c r="O70" s="18">
        <v>2</v>
      </c>
      <c r="P70" s="18">
        <v>2</v>
      </c>
      <c r="Q70" s="18">
        <v>2</v>
      </c>
      <c r="R70" s="18">
        <v>2</v>
      </c>
      <c r="S70" s="18">
        <v>3</v>
      </c>
      <c r="T70" s="18">
        <v>1</v>
      </c>
      <c r="U70" s="18">
        <v>2</v>
      </c>
      <c r="V70" s="18">
        <v>2</v>
      </c>
      <c r="W70" s="18">
        <f t="shared" si="2"/>
        <v>17</v>
      </c>
      <c r="X70" s="16">
        <v>3017</v>
      </c>
      <c r="Y70" s="12">
        <v>11</v>
      </c>
      <c r="Z70" s="12">
        <v>0</v>
      </c>
      <c r="AA70" s="13">
        <v>1</v>
      </c>
      <c r="AB70" s="14" t="e">
        <v>#N/A</v>
      </c>
      <c r="AC70" s="14" t="e">
        <v>#N/A</v>
      </c>
      <c r="AD70" s="15"/>
      <c r="AE70" s="18"/>
      <c r="AF70" s="19"/>
      <c r="AG70" s="18"/>
      <c r="AH70" s="18"/>
      <c r="AI70" s="18"/>
      <c r="AJ70" s="18">
        <v>3</v>
      </c>
      <c r="AK70" s="18">
        <v>1</v>
      </c>
      <c r="AL70" s="18">
        <v>4</v>
      </c>
      <c r="AM70" s="18">
        <v>9</v>
      </c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>
        <f t="shared" si="3"/>
        <v>17</v>
      </c>
    </row>
    <row r="71" spans="1:54" x14ac:dyDescent="0.3">
      <c r="A71" s="17" t="s">
        <v>147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9"/>
      <c r="M71" s="18">
        <v>2</v>
      </c>
      <c r="N71" s="18">
        <v>2</v>
      </c>
      <c r="O71" s="18">
        <v>2</v>
      </c>
      <c r="P71" s="18">
        <v>2</v>
      </c>
      <c r="Q71" s="18">
        <v>2</v>
      </c>
      <c r="R71" s="18">
        <v>2</v>
      </c>
      <c r="S71" s="18">
        <v>2</v>
      </c>
      <c r="T71" s="18">
        <v>2</v>
      </c>
      <c r="U71" s="18">
        <v>2</v>
      </c>
      <c r="V71" s="18">
        <v>2</v>
      </c>
      <c r="W71" s="18">
        <f t="shared" si="2"/>
        <v>20</v>
      </c>
      <c r="X71" s="16">
        <v>3017</v>
      </c>
      <c r="Y71" s="12">
        <v>11</v>
      </c>
      <c r="Z71" s="12">
        <v>0</v>
      </c>
      <c r="AA71" s="13">
        <v>1</v>
      </c>
      <c r="AB71" s="14" t="e">
        <v>#N/A</v>
      </c>
      <c r="AC71" s="14" t="e">
        <v>#N/A</v>
      </c>
      <c r="AD71" s="15"/>
      <c r="AE71" s="18"/>
      <c r="AF71" s="19"/>
      <c r="AG71" s="18"/>
      <c r="AH71" s="18"/>
      <c r="AI71" s="18">
        <v>2</v>
      </c>
      <c r="AJ71" s="18">
        <v>12</v>
      </c>
      <c r="AK71" s="18"/>
      <c r="AL71" s="18"/>
      <c r="AM71" s="18"/>
      <c r="AN71" s="18"/>
      <c r="AO71" s="18"/>
      <c r="AP71" s="18">
        <v>6</v>
      </c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>
        <f t="shared" si="3"/>
        <v>20</v>
      </c>
    </row>
    <row r="72" spans="1:54" x14ac:dyDescent="0.3">
      <c r="A72" s="17" t="s">
        <v>148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9"/>
      <c r="M72" s="18">
        <v>2</v>
      </c>
      <c r="N72" s="18">
        <v>2</v>
      </c>
      <c r="O72" s="18">
        <v>2</v>
      </c>
      <c r="P72" s="18">
        <v>2</v>
      </c>
      <c r="Q72" s="18">
        <v>2</v>
      </c>
      <c r="R72" s="18">
        <v>2</v>
      </c>
      <c r="S72" s="18">
        <v>2</v>
      </c>
      <c r="T72" s="18">
        <v>2</v>
      </c>
      <c r="U72" s="18">
        <v>2</v>
      </c>
      <c r="V72" s="18">
        <v>2</v>
      </c>
      <c r="W72" s="18">
        <f t="shared" si="2"/>
        <v>20</v>
      </c>
      <c r="X72" s="16">
        <v>3017</v>
      </c>
      <c r="Y72" s="12">
        <v>12</v>
      </c>
      <c r="Z72" s="12">
        <v>0</v>
      </c>
      <c r="AA72" s="13">
        <v>1</v>
      </c>
      <c r="AB72" s="14" t="e">
        <v>#N/A</v>
      </c>
      <c r="AC72" s="14" t="e">
        <v>#N/A</v>
      </c>
      <c r="AD72" s="15"/>
      <c r="AE72" s="18"/>
      <c r="AF72" s="19"/>
      <c r="AG72" s="18"/>
      <c r="AH72" s="18"/>
      <c r="AI72" s="18"/>
      <c r="AJ72" s="18">
        <v>5</v>
      </c>
      <c r="AK72" s="18"/>
      <c r="AL72" s="18">
        <v>12</v>
      </c>
      <c r="AM72" s="18"/>
      <c r="AN72" s="18"/>
      <c r="AO72" s="18"/>
      <c r="AP72" s="18"/>
      <c r="AQ72" s="18"/>
      <c r="AR72" s="18">
        <v>3</v>
      </c>
      <c r="AS72" s="18"/>
      <c r="AT72" s="18"/>
      <c r="AU72" s="18"/>
      <c r="AV72" s="18"/>
      <c r="AW72" s="18"/>
      <c r="AX72" s="18"/>
      <c r="AY72" s="18"/>
      <c r="AZ72" s="18"/>
      <c r="BA72" s="18"/>
      <c r="BB72" s="18">
        <f t="shared" si="3"/>
        <v>20</v>
      </c>
    </row>
    <row r="73" spans="1:54" x14ac:dyDescent="0.3">
      <c r="A73" s="17" t="s">
        <v>150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9"/>
      <c r="M73" s="18">
        <v>1</v>
      </c>
      <c r="N73" s="18">
        <v>3</v>
      </c>
      <c r="O73" s="18">
        <v>2</v>
      </c>
      <c r="P73" s="18">
        <v>2</v>
      </c>
      <c r="Q73" s="18">
        <v>2</v>
      </c>
      <c r="R73" s="18">
        <v>2</v>
      </c>
      <c r="S73" s="18">
        <v>2</v>
      </c>
      <c r="T73" s="18">
        <v>2</v>
      </c>
      <c r="U73" s="18">
        <v>2</v>
      </c>
      <c r="V73" s="18">
        <v>2</v>
      </c>
      <c r="W73" s="18">
        <f t="shared" si="2"/>
        <v>20</v>
      </c>
      <c r="X73" s="16">
        <v>3017</v>
      </c>
      <c r="Y73" s="12">
        <v>11</v>
      </c>
      <c r="Z73" s="12">
        <v>0</v>
      </c>
      <c r="AA73" s="13">
        <v>1</v>
      </c>
      <c r="AB73" s="14" t="e">
        <v>#N/A</v>
      </c>
      <c r="AC73" s="14" t="e">
        <v>#N/A</v>
      </c>
      <c r="AD73" s="15"/>
      <c r="AE73" s="18"/>
      <c r="AF73" s="19"/>
      <c r="AG73" s="18"/>
      <c r="AH73" s="18"/>
      <c r="AI73" s="18"/>
      <c r="AJ73" s="18">
        <v>5</v>
      </c>
      <c r="AK73" s="18"/>
      <c r="AL73" s="18"/>
      <c r="AM73" s="18">
        <v>12</v>
      </c>
      <c r="AN73" s="18"/>
      <c r="AO73" s="18"/>
      <c r="AP73" s="18"/>
      <c r="AQ73" s="18"/>
      <c r="AR73" s="18"/>
      <c r="AS73" s="18">
        <v>3</v>
      </c>
      <c r="AT73" s="18"/>
      <c r="AU73" s="18"/>
      <c r="AV73" s="18"/>
      <c r="AW73" s="18"/>
      <c r="AX73" s="18"/>
      <c r="AY73" s="18"/>
      <c r="AZ73" s="18"/>
      <c r="BA73" s="18"/>
      <c r="BB73" s="18">
        <f t="shared" si="3"/>
        <v>20</v>
      </c>
    </row>
    <row r="74" spans="1:54" x14ac:dyDescent="0.3">
      <c r="A74" s="17" t="s">
        <v>151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9"/>
      <c r="M74" s="18">
        <v>1</v>
      </c>
      <c r="N74" s="18">
        <v>3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f t="shared" si="2"/>
        <v>20</v>
      </c>
      <c r="X74" s="16">
        <v>3017</v>
      </c>
      <c r="Y74" s="12">
        <v>11</v>
      </c>
      <c r="Z74" s="12">
        <v>0</v>
      </c>
      <c r="AA74" s="13">
        <v>1</v>
      </c>
      <c r="AB74" s="14" t="e">
        <v>#N/A</v>
      </c>
      <c r="AC74" s="14" t="e">
        <v>#N/A</v>
      </c>
      <c r="AD74" s="15"/>
      <c r="AE74" s="18"/>
      <c r="AF74" s="19"/>
      <c r="AG74" s="18"/>
      <c r="AH74" s="18"/>
      <c r="AI74" s="18">
        <v>2</v>
      </c>
      <c r="AJ74" s="18">
        <v>5</v>
      </c>
      <c r="AK74" s="18"/>
      <c r="AL74" s="18"/>
      <c r="AM74" s="18">
        <v>12</v>
      </c>
      <c r="AN74" s="18"/>
      <c r="AO74" s="18"/>
      <c r="AP74" s="18"/>
      <c r="AQ74" s="18"/>
      <c r="AR74" s="18"/>
      <c r="AS74" s="18">
        <v>1</v>
      </c>
      <c r="AT74" s="18"/>
      <c r="AU74" s="18"/>
      <c r="AV74" s="18"/>
      <c r="AW74" s="18"/>
      <c r="AX74" s="18"/>
      <c r="AY74" s="18"/>
      <c r="AZ74" s="18"/>
      <c r="BA74" s="18"/>
      <c r="BB74" s="18">
        <f t="shared" si="3"/>
        <v>20</v>
      </c>
    </row>
    <row r="75" spans="1:54" x14ac:dyDescent="0.3">
      <c r="A75" s="17" t="s">
        <v>152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9">
        <v>1</v>
      </c>
      <c r="M75" s="18">
        <v>2</v>
      </c>
      <c r="N75" s="18">
        <v>2</v>
      </c>
      <c r="O75" s="18">
        <v>2</v>
      </c>
      <c r="P75" s="18">
        <v>2</v>
      </c>
      <c r="Q75" s="18">
        <v>2</v>
      </c>
      <c r="R75" s="18">
        <v>2</v>
      </c>
      <c r="S75" s="18">
        <v>2</v>
      </c>
      <c r="T75" s="18">
        <v>2</v>
      </c>
      <c r="U75" s="18">
        <v>2</v>
      </c>
      <c r="V75" s="18">
        <v>2</v>
      </c>
      <c r="W75" s="18">
        <f t="shared" si="2"/>
        <v>21</v>
      </c>
      <c r="X75" s="16">
        <v>3017</v>
      </c>
      <c r="Y75" s="12">
        <v>11</v>
      </c>
      <c r="Z75" s="12">
        <v>0</v>
      </c>
      <c r="AA75" s="13">
        <v>1</v>
      </c>
      <c r="AB75" s="14" t="e">
        <v>#N/A</v>
      </c>
      <c r="AC75" s="14" t="e">
        <v>#N/A</v>
      </c>
      <c r="AD75" s="15"/>
      <c r="AE75" s="18"/>
      <c r="AF75" s="19"/>
      <c r="AG75" s="18"/>
      <c r="AH75" s="18"/>
      <c r="AI75" s="18">
        <v>3</v>
      </c>
      <c r="AJ75" s="18"/>
      <c r="AK75" s="18">
        <v>12</v>
      </c>
      <c r="AL75" s="18"/>
      <c r="AM75" s="18"/>
      <c r="AN75" s="18"/>
      <c r="AO75" s="18"/>
      <c r="AP75" s="18"/>
      <c r="AQ75" s="18">
        <v>6</v>
      </c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>
        <f t="shared" si="3"/>
        <v>21</v>
      </c>
    </row>
    <row r="76" spans="1:54" x14ac:dyDescent="0.3">
      <c r="A76" s="17" t="s">
        <v>154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9"/>
      <c r="M76" s="18">
        <v>2</v>
      </c>
      <c r="N76" s="18">
        <v>2</v>
      </c>
      <c r="O76" s="18">
        <v>2</v>
      </c>
      <c r="P76" s="18">
        <v>2</v>
      </c>
      <c r="Q76" s="18">
        <v>2</v>
      </c>
      <c r="R76" s="18">
        <v>2</v>
      </c>
      <c r="S76" s="18">
        <v>2</v>
      </c>
      <c r="T76" s="18">
        <v>2</v>
      </c>
      <c r="U76" s="18">
        <v>2</v>
      </c>
      <c r="V76" s="18">
        <v>2</v>
      </c>
      <c r="W76" s="18">
        <f t="shared" si="2"/>
        <v>20</v>
      </c>
      <c r="X76" s="16">
        <v>3017</v>
      </c>
      <c r="Y76" s="12">
        <v>11</v>
      </c>
      <c r="Z76" s="12">
        <v>0</v>
      </c>
      <c r="AA76" s="13">
        <v>1</v>
      </c>
      <c r="AB76" s="14" t="e">
        <v>#N/A</v>
      </c>
      <c r="AC76" s="14" t="e">
        <v>#N/A</v>
      </c>
      <c r="AD76" s="15"/>
      <c r="AE76" s="18"/>
      <c r="AF76" s="19"/>
      <c r="AG76" s="18"/>
      <c r="AH76" s="18"/>
      <c r="AI76" s="18">
        <v>5</v>
      </c>
      <c r="AJ76" s="18"/>
      <c r="AK76" s="18"/>
      <c r="AL76" s="18"/>
      <c r="AM76" s="18">
        <v>12</v>
      </c>
      <c r="AN76" s="18"/>
      <c r="AO76" s="18"/>
      <c r="AP76" s="18"/>
      <c r="AQ76" s="18"/>
      <c r="AR76" s="18"/>
      <c r="AS76" s="18">
        <v>3</v>
      </c>
      <c r="AT76" s="18"/>
      <c r="AU76" s="18"/>
      <c r="AV76" s="18"/>
      <c r="AW76" s="18"/>
      <c r="AX76" s="18"/>
      <c r="AY76" s="18"/>
      <c r="AZ76" s="18"/>
      <c r="BA76" s="18"/>
      <c r="BB76" s="18">
        <f t="shared" si="3"/>
        <v>20</v>
      </c>
    </row>
    <row r="77" spans="1:54" x14ac:dyDescent="0.3">
      <c r="A77" s="17" t="s">
        <v>155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9"/>
      <c r="M77" s="18">
        <v>1</v>
      </c>
      <c r="N77" s="18">
        <v>3</v>
      </c>
      <c r="O77" s="18">
        <v>2</v>
      </c>
      <c r="P77" s="18">
        <v>2</v>
      </c>
      <c r="Q77" s="18">
        <v>2</v>
      </c>
      <c r="R77" s="18">
        <v>2</v>
      </c>
      <c r="S77" s="18">
        <v>2</v>
      </c>
      <c r="T77" s="18">
        <v>2</v>
      </c>
      <c r="U77" s="18">
        <v>2</v>
      </c>
      <c r="V77" s="18">
        <v>2</v>
      </c>
      <c r="W77" s="18">
        <f t="shared" si="2"/>
        <v>20</v>
      </c>
      <c r="X77" s="16">
        <v>3017</v>
      </c>
      <c r="Y77" s="12">
        <v>11</v>
      </c>
      <c r="Z77" s="12">
        <v>0</v>
      </c>
      <c r="AA77" s="13">
        <v>1</v>
      </c>
      <c r="AB77" s="14" t="e">
        <v>#N/A</v>
      </c>
      <c r="AC77" s="14" t="e">
        <v>#N/A</v>
      </c>
      <c r="AD77" s="15"/>
      <c r="AE77" s="18"/>
      <c r="AF77" s="19"/>
      <c r="AG77" s="18"/>
      <c r="AH77" s="18"/>
      <c r="AI77" s="18">
        <v>5</v>
      </c>
      <c r="AJ77" s="18"/>
      <c r="AK77" s="18"/>
      <c r="AL77" s="18">
        <v>12</v>
      </c>
      <c r="AM77" s="18"/>
      <c r="AN77" s="18"/>
      <c r="AO77" s="18"/>
      <c r="AP77" s="18"/>
      <c r="AQ77" s="18"/>
      <c r="AR77" s="18"/>
      <c r="AS77" s="18">
        <v>3</v>
      </c>
      <c r="AT77" s="18"/>
      <c r="AU77" s="18"/>
      <c r="AV77" s="18"/>
      <c r="AW77" s="18"/>
      <c r="AX77" s="18"/>
      <c r="AY77" s="18"/>
      <c r="AZ77" s="18"/>
      <c r="BA77" s="18"/>
      <c r="BB77" s="18">
        <f t="shared" si="3"/>
        <v>20</v>
      </c>
    </row>
    <row r="78" spans="1:54" x14ac:dyDescent="0.3">
      <c r="A78" s="17" t="s">
        <v>158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9"/>
      <c r="M78" s="18">
        <v>1</v>
      </c>
      <c r="N78" s="18">
        <v>2</v>
      </c>
      <c r="O78" s="18">
        <v>2</v>
      </c>
      <c r="P78" s="18">
        <v>2</v>
      </c>
      <c r="Q78" s="18">
        <v>2</v>
      </c>
      <c r="R78" s="18">
        <v>2</v>
      </c>
      <c r="S78" s="18">
        <v>3</v>
      </c>
      <c r="T78" s="18">
        <v>1</v>
      </c>
      <c r="U78" s="18">
        <v>2</v>
      </c>
      <c r="V78" s="18">
        <v>2</v>
      </c>
      <c r="W78" s="18">
        <f t="shared" si="2"/>
        <v>19</v>
      </c>
      <c r="X78" s="16">
        <v>3017</v>
      </c>
      <c r="Y78" s="12">
        <v>11</v>
      </c>
      <c r="Z78" s="12">
        <v>0</v>
      </c>
      <c r="AA78" s="13">
        <v>1</v>
      </c>
      <c r="AB78" s="14" t="e">
        <v>#N/A</v>
      </c>
      <c r="AC78" s="14" t="e">
        <v>#N/A</v>
      </c>
      <c r="AD78" s="15"/>
      <c r="AE78" s="18"/>
      <c r="AF78" s="19"/>
      <c r="AG78" s="18"/>
      <c r="AH78" s="18"/>
      <c r="AI78" s="18"/>
      <c r="AJ78" s="18">
        <v>2</v>
      </c>
      <c r="AK78" s="18">
        <v>12</v>
      </c>
      <c r="AL78" s="18"/>
      <c r="AM78" s="18"/>
      <c r="AN78" s="18"/>
      <c r="AO78" s="18"/>
      <c r="AP78" s="18"/>
      <c r="AQ78" s="18">
        <v>5</v>
      </c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>
        <f t="shared" si="3"/>
        <v>19</v>
      </c>
    </row>
    <row r="79" spans="1:54" x14ac:dyDescent="0.3">
      <c r="A79" s="17" t="s">
        <v>160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9">
        <v>2</v>
      </c>
      <c r="M79" s="18">
        <v>6</v>
      </c>
      <c r="N79" s="18">
        <v>3</v>
      </c>
      <c r="O79" s="18">
        <v>9</v>
      </c>
      <c r="P79" s="18">
        <v>6</v>
      </c>
      <c r="Q79" s="18">
        <v>6</v>
      </c>
      <c r="R79" s="18">
        <v>6</v>
      </c>
      <c r="S79" s="18">
        <v>6</v>
      </c>
      <c r="T79" s="18">
        <v>3</v>
      </c>
      <c r="U79" s="18">
        <v>6</v>
      </c>
      <c r="V79" s="18">
        <v>9</v>
      </c>
      <c r="W79" s="18">
        <f t="shared" si="2"/>
        <v>62</v>
      </c>
      <c r="X79" s="16">
        <v>3017</v>
      </c>
      <c r="Y79" s="12">
        <v>34</v>
      </c>
      <c r="Z79" s="12">
        <v>0</v>
      </c>
      <c r="AA79" s="13">
        <v>3</v>
      </c>
      <c r="AB79" s="14" t="e">
        <v>#N/A</v>
      </c>
      <c r="AC79" s="14" t="e">
        <v>#N/A</v>
      </c>
      <c r="AD79" s="15"/>
      <c r="AE79" s="18"/>
      <c r="AF79" s="19"/>
      <c r="AG79" s="18">
        <v>5</v>
      </c>
      <c r="AH79" s="18"/>
      <c r="AI79" s="18">
        <v>12</v>
      </c>
      <c r="AJ79" s="18"/>
      <c r="AK79" s="18">
        <v>12</v>
      </c>
      <c r="AL79" s="18"/>
      <c r="AM79" s="18">
        <v>12</v>
      </c>
      <c r="AN79" s="18"/>
      <c r="AO79" s="18"/>
      <c r="AP79" s="18">
        <v>12</v>
      </c>
      <c r="AQ79" s="18">
        <v>9</v>
      </c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>
        <f t="shared" si="3"/>
        <v>62</v>
      </c>
    </row>
    <row r="80" spans="1:54" x14ac:dyDescent="0.3">
      <c r="A80" s="17" t="s">
        <v>162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9"/>
      <c r="M80" s="18"/>
      <c r="N80" s="18"/>
      <c r="O80" s="18"/>
      <c r="P80" s="18">
        <v>49</v>
      </c>
      <c r="Q80" s="18">
        <v>208</v>
      </c>
      <c r="R80" s="18">
        <v>67</v>
      </c>
      <c r="S80" s="18"/>
      <c r="T80" s="18"/>
      <c r="U80" s="18"/>
      <c r="V80" s="18"/>
      <c r="W80" s="18">
        <f t="shared" si="2"/>
        <v>324</v>
      </c>
      <c r="X80" s="16">
        <v>3017</v>
      </c>
      <c r="Y80" s="12">
        <v>1443</v>
      </c>
      <c r="Z80" s="12">
        <v>0</v>
      </c>
      <c r="AA80" s="13">
        <v>104</v>
      </c>
      <c r="AB80" s="14" t="e">
        <v>#N/A</v>
      </c>
      <c r="AC80" s="14" t="e">
        <v>#N/A</v>
      </c>
      <c r="AD80" s="15"/>
      <c r="AE80" s="18"/>
      <c r="AF80" s="19"/>
      <c r="AG80" s="18"/>
      <c r="AH80" s="18"/>
      <c r="AI80" s="18">
        <v>315</v>
      </c>
      <c r="AJ80" s="18"/>
      <c r="AK80" s="18"/>
      <c r="AL80" s="18"/>
      <c r="AM80" s="18"/>
      <c r="AN80" s="18"/>
      <c r="AO80" s="18">
        <v>9</v>
      </c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>
        <f t="shared" si="3"/>
        <v>324</v>
      </c>
    </row>
    <row r="81" spans="1:54" x14ac:dyDescent="0.3">
      <c r="A81" s="17" t="s">
        <v>164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9"/>
      <c r="M81" s="18"/>
      <c r="N81" s="18"/>
      <c r="O81" s="18"/>
      <c r="P81" s="18">
        <v>2</v>
      </c>
      <c r="Q81" s="18">
        <v>2</v>
      </c>
      <c r="R81" s="18">
        <v>2</v>
      </c>
      <c r="S81" s="18">
        <v>3</v>
      </c>
      <c r="T81" s="18">
        <v>1</v>
      </c>
      <c r="U81" s="18">
        <v>2</v>
      </c>
      <c r="V81" s="18">
        <v>2</v>
      </c>
      <c r="W81" s="18">
        <f t="shared" si="2"/>
        <v>14</v>
      </c>
      <c r="X81" s="16">
        <v>3017</v>
      </c>
      <c r="Y81" s="12">
        <v>11</v>
      </c>
      <c r="Z81" s="12">
        <v>0</v>
      </c>
      <c r="AA81" s="13">
        <v>1</v>
      </c>
      <c r="AB81" s="14" t="e">
        <v>#N/A</v>
      </c>
      <c r="AC81" s="14" t="e">
        <v>#N/A</v>
      </c>
      <c r="AD81" s="15"/>
      <c r="AE81" s="18"/>
      <c r="AF81" s="19"/>
      <c r="AG81" s="18"/>
      <c r="AH81" s="18"/>
      <c r="AI81" s="18"/>
      <c r="AJ81" s="18"/>
      <c r="AK81" s="18"/>
      <c r="AL81" s="18"/>
      <c r="AM81" s="18">
        <v>13</v>
      </c>
      <c r="AN81" s="18"/>
      <c r="AO81" s="18"/>
      <c r="AP81" s="18"/>
      <c r="AQ81" s="18"/>
      <c r="AR81" s="18"/>
      <c r="AS81" s="18">
        <v>1</v>
      </c>
      <c r="AT81" s="18"/>
      <c r="AU81" s="18"/>
      <c r="AV81" s="18"/>
      <c r="AW81" s="18"/>
      <c r="AX81" s="18"/>
      <c r="AY81" s="18"/>
      <c r="AZ81" s="18"/>
      <c r="BA81" s="18"/>
      <c r="BB81" s="18">
        <f t="shared" si="3"/>
        <v>14</v>
      </c>
    </row>
    <row r="82" spans="1:54" x14ac:dyDescent="0.3">
      <c r="A82" s="17" t="s">
        <v>166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9"/>
      <c r="M82" s="18">
        <v>1</v>
      </c>
      <c r="N82" s="18">
        <v>3</v>
      </c>
      <c r="O82" s="18">
        <v>2</v>
      </c>
      <c r="P82" s="18">
        <v>2</v>
      </c>
      <c r="Q82" s="18">
        <v>2</v>
      </c>
      <c r="R82" s="18">
        <v>2</v>
      </c>
      <c r="S82" s="18">
        <v>2</v>
      </c>
      <c r="T82" s="18">
        <v>2</v>
      </c>
      <c r="U82" s="18">
        <v>2</v>
      </c>
      <c r="V82" s="18">
        <v>2</v>
      </c>
      <c r="W82" s="18">
        <f t="shared" si="2"/>
        <v>20</v>
      </c>
      <c r="X82" s="16">
        <v>3017</v>
      </c>
      <c r="Y82" s="12">
        <v>11</v>
      </c>
      <c r="Z82" s="12">
        <v>0</v>
      </c>
      <c r="AA82" s="13">
        <v>1</v>
      </c>
      <c r="AB82" s="14" t="e">
        <v>#N/A</v>
      </c>
      <c r="AC82" s="14" t="e">
        <v>#N/A</v>
      </c>
      <c r="AD82" s="15"/>
      <c r="AE82" s="18"/>
      <c r="AF82" s="19"/>
      <c r="AG82" s="18">
        <v>1</v>
      </c>
      <c r="AH82" s="18"/>
      <c r="AI82" s="18"/>
      <c r="AJ82" s="18">
        <v>3</v>
      </c>
      <c r="AK82" s="18"/>
      <c r="AL82" s="18"/>
      <c r="AM82" s="18">
        <v>12</v>
      </c>
      <c r="AN82" s="18"/>
      <c r="AO82" s="18"/>
      <c r="AP82" s="18"/>
      <c r="AQ82" s="18"/>
      <c r="AR82" s="18"/>
      <c r="AS82" s="18">
        <v>4</v>
      </c>
      <c r="AT82" s="18"/>
      <c r="AU82" s="18"/>
      <c r="AV82" s="18"/>
      <c r="AW82" s="18"/>
      <c r="AX82" s="18"/>
      <c r="AY82" s="18"/>
      <c r="AZ82" s="18"/>
      <c r="BA82" s="18"/>
      <c r="BB82" s="18">
        <f t="shared" si="3"/>
        <v>20</v>
      </c>
    </row>
    <row r="83" spans="1:54" x14ac:dyDescent="0.3">
      <c r="A83" s="17" t="s">
        <v>168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9"/>
      <c r="M83" s="18"/>
      <c r="N83" s="18"/>
      <c r="O83" s="18">
        <v>2</v>
      </c>
      <c r="P83" s="18">
        <v>2</v>
      </c>
      <c r="Q83" s="18">
        <v>2</v>
      </c>
      <c r="R83" s="18">
        <v>2</v>
      </c>
      <c r="S83" s="18">
        <v>2</v>
      </c>
      <c r="T83" s="18">
        <v>1</v>
      </c>
      <c r="U83" s="18">
        <v>2</v>
      </c>
      <c r="V83" s="18">
        <v>2</v>
      </c>
      <c r="W83" s="18">
        <f t="shared" si="2"/>
        <v>15</v>
      </c>
      <c r="X83" s="16">
        <v>3017</v>
      </c>
      <c r="Y83" s="12">
        <v>11</v>
      </c>
      <c r="Z83" s="12">
        <v>0</v>
      </c>
      <c r="AA83" s="13">
        <v>1</v>
      </c>
      <c r="AB83" s="14" t="e">
        <v>#N/A</v>
      </c>
      <c r="AC83" s="14" t="e">
        <v>#N/A</v>
      </c>
      <c r="AD83" s="15"/>
      <c r="AE83" s="18"/>
      <c r="AF83" s="19"/>
      <c r="AG83" s="18">
        <v>1</v>
      </c>
      <c r="AH83" s="18"/>
      <c r="AI83" s="18"/>
      <c r="AJ83" s="18"/>
      <c r="AK83" s="18"/>
      <c r="AL83" s="18">
        <v>13</v>
      </c>
      <c r="AM83" s="18"/>
      <c r="AN83" s="18"/>
      <c r="AO83" s="18"/>
      <c r="AP83" s="18"/>
      <c r="AQ83" s="18"/>
      <c r="AR83" s="18"/>
      <c r="AS83" s="18">
        <v>1</v>
      </c>
      <c r="AT83" s="18"/>
      <c r="AU83" s="18"/>
      <c r="AV83" s="18"/>
      <c r="AW83" s="18"/>
      <c r="AX83" s="18"/>
      <c r="AY83" s="18"/>
      <c r="AZ83" s="18"/>
      <c r="BA83" s="18"/>
      <c r="BB83" s="18">
        <f t="shared" si="3"/>
        <v>15</v>
      </c>
    </row>
    <row r="84" spans="1:54" x14ac:dyDescent="0.3">
      <c r="A84" s="17" t="s">
        <v>170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9"/>
      <c r="M84" s="18"/>
      <c r="N84" s="18">
        <v>8</v>
      </c>
      <c r="O84" s="18">
        <v>8</v>
      </c>
      <c r="P84" s="18">
        <v>8</v>
      </c>
      <c r="Q84" s="18">
        <v>8</v>
      </c>
      <c r="R84" s="18">
        <v>8</v>
      </c>
      <c r="S84" s="18">
        <v>12</v>
      </c>
      <c r="T84" s="18">
        <v>4</v>
      </c>
      <c r="U84" s="18">
        <v>8</v>
      </c>
      <c r="V84" s="18">
        <v>8</v>
      </c>
      <c r="W84" s="18">
        <f t="shared" si="2"/>
        <v>72</v>
      </c>
      <c r="X84" s="16">
        <v>3017</v>
      </c>
      <c r="Y84" s="12">
        <v>44</v>
      </c>
      <c r="Z84" s="12">
        <v>0</v>
      </c>
      <c r="AA84" s="13">
        <v>4</v>
      </c>
      <c r="AB84" s="14" t="e">
        <v>#N/A</v>
      </c>
      <c r="AC84" s="14" t="e">
        <v>#N/A</v>
      </c>
      <c r="AD84" s="15"/>
      <c r="AE84" s="18"/>
      <c r="AF84" s="19"/>
      <c r="AG84" s="18"/>
      <c r="AH84" s="18">
        <v>32</v>
      </c>
      <c r="AI84" s="18"/>
      <c r="AJ84" s="18"/>
      <c r="AK84" s="18">
        <v>24</v>
      </c>
      <c r="AL84" s="18"/>
      <c r="AM84" s="18"/>
      <c r="AN84" s="18"/>
      <c r="AO84" s="18">
        <v>16</v>
      </c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>
        <f t="shared" si="3"/>
        <v>72</v>
      </c>
    </row>
    <row r="85" spans="1:54" x14ac:dyDescent="0.3">
      <c r="A85" s="17" t="s">
        <v>103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9"/>
      <c r="M85" s="18"/>
      <c r="N85" s="18"/>
      <c r="O85" s="18"/>
      <c r="P85" s="18">
        <v>2</v>
      </c>
      <c r="Q85" s="18">
        <v>2</v>
      </c>
      <c r="R85" s="18">
        <v>2</v>
      </c>
      <c r="S85" s="18">
        <v>2</v>
      </c>
      <c r="T85" s="18">
        <v>2</v>
      </c>
      <c r="U85" s="18">
        <v>2</v>
      </c>
      <c r="V85" s="18">
        <v>2</v>
      </c>
      <c r="W85" s="18">
        <f t="shared" si="2"/>
        <v>14</v>
      </c>
      <c r="X85" s="16">
        <v>3018</v>
      </c>
      <c r="Y85" s="12">
        <v>8</v>
      </c>
      <c r="Z85" s="12">
        <v>0</v>
      </c>
      <c r="AA85" s="13">
        <v>1</v>
      </c>
      <c r="AB85" s="14" t="e">
        <v>#N/A</v>
      </c>
      <c r="AC85" s="14" t="e">
        <v>#N/A</v>
      </c>
      <c r="AD85" s="15"/>
      <c r="AE85" s="18"/>
      <c r="AF85" s="19"/>
      <c r="AG85" s="18"/>
      <c r="AH85" s="18"/>
      <c r="AI85" s="18"/>
      <c r="AJ85" s="18">
        <v>1</v>
      </c>
      <c r="AK85" s="18"/>
      <c r="AL85" s="18"/>
      <c r="AM85" s="18">
        <v>6</v>
      </c>
      <c r="AN85" s="18"/>
      <c r="AO85" s="18"/>
      <c r="AP85" s="18">
        <v>6</v>
      </c>
      <c r="AQ85" s="18"/>
      <c r="AR85" s="18"/>
      <c r="AS85" s="18">
        <v>1</v>
      </c>
      <c r="AT85" s="18"/>
      <c r="AU85" s="18"/>
      <c r="AV85" s="18"/>
      <c r="AW85" s="18"/>
      <c r="AX85" s="18"/>
      <c r="AY85" s="18"/>
      <c r="AZ85" s="18"/>
      <c r="BA85" s="18"/>
      <c r="BB85" s="18">
        <f t="shared" si="3"/>
        <v>14</v>
      </c>
    </row>
    <row r="86" spans="1:54" x14ac:dyDescent="0.3">
      <c r="A86" s="17" t="s">
        <v>141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9"/>
      <c r="M86" s="18"/>
      <c r="N86" s="18">
        <v>4</v>
      </c>
      <c r="O86" s="18">
        <v>4</v>
      </c>
      <c r="P86" s="18">
        <v>4</v>
      </c>
      <c r="Q86" s="18">
        <v>4</v>
      </c>
      <c r="R86" s="18">
        <v>4</v>
      </c>
      <c r="S86" s="18">
        <v>4</v>
      </c>
      <c r="T86" s="18">
        <v>4</v>
      </c>
      <c r="U86" s="18">
        <v>4</v>
      </c>
      <c r="V86" s="18">
        <v>4</v>
      </c>
      <c r="W86" s="18">
        <f t="shared" si="2"/>
        <v>36</v>
      </c>
      <c r="X86" s="16">
        <v>3018</v>
      </c>
      <c r="Y86" s="12">
        <v>21</v>
      </c>
      <c r="Z86" s="12">
        <v>0</v>
      </c>
      <c r="AA86" s="13">
        <v>2</v>
      </c>
      <c r="AB86" s="14" t="e">
        <v>#N/A</v>
      </c>
      <c r="AC86" s="14" t="e">
        <v>#N/A</v>
      </c>
      <c r="AD86" s="15"/>
      <c r="AE86" s="18"/>
      <c r="AF86" s="19"/>
      <c r="AG86" s="18"/>
      <c r="AH86" s="18"/>
      <c r="AI86" s="18">
        <v>8</v>
      </c>
      <c r="AJ86" s="18"/>
      <c r="AK86" s="18"/>
      <c r="AL86" s="18">
        <v>8</v>
      </c>
      <c r="AM86" s="18"/>
      <c r="AN86" s="18">
        <v>8</v>
      </c>
      <c r="AO86" s="18"/>
      <c r="AP86" s="18">
        <v>8</v>
      </c>
      <c r="AQ86" s="18"/>
      <c r="AR86" s="18">
        <v>4</v>
      </c>
      <c r="AS86" s="18"/>
      <c r="AT86" s="18"/>
      <c r="AU86" s="18"/>
      <c r="AV86" s="18"/>
      <c r="AW86" s="18"/>
      <c r="AX86" s="18"/>
      <c r="AY86" s="18"/>
      <c r="AZ86" s="18"/>
      <c r="BA86" s="18"/>
      <c r="BB86" s="18">
        <f t="shared" si="3"/>
        <v>36</v>
      </c>
    </row>
    <row r="87" spans="1:54" x14ac:dyDescent="0.3">
      <c r="A87" s="17" t="s">
        <v>161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9"/>
      <c r="M87" s="18"/>
      <c r="N87" s="18"/>
      <c r="O87" s="18"/>
      <c r="P87" s="18">
        <v>16</v>
      </c>
      <c r="Q87" s="18">
        <v>16</v>
      </c>
      <c r="R87" s="18">
        <v>16</v>
      </c>
      <c r="S87" s="18">
        <v>16</v>
      </c>
      <c r="T87" s="18">
        <v>16</v>
      </c>
      <c r="U87" s="18">
        <v>16</v>
      </c>
      <c r="V87" s="18">
        <v>16</v>
      </c>
      <c r="W87" s="18">
        <f t="shared" si="2"/>
        <v>112</v>
      </c>
      <c r="X87" s="16">
        <v>3018</v>
      </c>
      <c r="Y87" s="12">
        <v>94</v>
      </c>
      <c r="Z87" s="12">
        <v>0</v>
      </c>
      <c r="AA87" s="13">
        <v>8</v>
      </c>
      <c r="AB87" s="14" t="e">
        <v>#N/A</v>
      </c>
      <c r="AC87" s="14" t="e">
        <v>#N/A</v>
      </c>
      <c r="AD87" s="15"/>
      <c r="AE87" s="18"/>
      <c r="AF87" s="19"/>
      <c r="AG87" s="18"/>
      <c r="AH87" s="18"/>
      <c r="AI87" s="18"/>
      <c r="AJ87" s="18"/>
      <c r="AK87" s="18"/>
      <c r="AL87" s="18">
        <v>32</v>
      </c>
      <c r="AM87" s="18"/>
      <c r="AN87" s="18">
        <v>32</v>
      </c>
      <c r="AO87" s="18"/>
      <c r="AP87" s="18">
        <v>32</v>
      </c>
      <c r="AQ87" s="18"/>
      <c r="AR87" s="18">
        <v>16</v>
      </c>
      <c r="AS87" s="18"/>
      <c r="AT87" s="18"/>
      <c r="AU87" s="18"/>
      <c r="AV87" s="18"/>
      <c r="AW87" s="18"/>
      <c r="AX87" s="18"/>
      <c r="AY87" s="18"/>
      <c r="AZ87" s="18"/>
      <c r="BA87" s="18"/>
      <c r="BB87" s="18">
        <f t="shared" si="3"/>
        <v>112</v>
      </c>
    </row>
    <row r="88" spans="1:54" x14ac:dyDescent="0.3">
      <c r="A88" s="17" t="s">
        <v>172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9"/>
      <c r="M88" s="18"/>
      <c r="N88" s="18"/>
      <c r="O88" s="18">
        <v>4</v>
      </c>
      <c r="P88" s="18">
        <v>6</v>
      </c>
      <c r="Q88" s="18">
        <v>4</v>
      </c>
      <c r="R88" s="18">
        <v>4</v>
      </c>
      <c r="S88" s="18">
        <v>4</v>
      </c>
      <c r="T88" s="18">
        <v>2</v>
      </c>
      <c r="U88" s="18">
        <v>4</v>
      </c>
      <c r="V88" s="18">
        <v>4</v>
      </c>
      <c r="W88" s="18">
        <f t="shared" si="2"/>
        <v>32</v>
      </c>
      <c r="X88" s="16">
        <v>3018</v>
      </c>
      <c r="Y88" s="12">
        <v>30</v>
      </c>
      <c r="Z88" s="12">
        <v>0</v>
      </c>
      <c r="AA88" s="13">
        <v>2</v>
      </c>
      <c r="AB88" s="14" t="e">
        <v>#N/A</v>
      </c>
      <c r="AC88" s="14" t="e">
        <v>#N/A</v>
      </c>
      <c r="AD88" s="15"/>
      <c r="AE88" s="18"/>
      <c r="AF88" s="19"/>
      <c r="AG88" s="18"/>
      <c r="AH88" s="18"/>
      <c r="AI88" s="18">
        <v>14</v>
      </c>
      <c r="AJ88" s="18"/>
      <c r="AK88" s="18"/>
      <c r="AL88" s="18">
        <v>12</v>
      </c>
      <c r="AM88" s="18"/>
      <c r="AN88" s="18"/>
      <c r="AO88" s="18">
        <v>6</v>
      </c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>
        <f t="shared" si="3"/>
        <v>32</v>
      </c>
    </row>
    <row r="89" spans="1:54" x14ac:dyDescent="0.3">
      <c r="A89" s="17" t="s">
        <v>174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9"/>
      <c r="M89" s="18"/>
      <c r="N89" s="18">
        <v>1</v>
      </c>
      <c r="O89" s="18">
        <v>2</v>
      </c>
      <c r="P89" s="18">
        <v>2</v>
      </c>
      <c r="Q89" s="18">
        <v>2</v>
      </c>
      <c r="R89" s="18">
        <v>2</v>
      </c>
      <c r="S89" s="18">
        <v>3</v>
      </c>
      <c r="T89" s="18">
        <v>1</v>
      </c>
      <c r="U89" s="18">
        <v>2</v>
      </c>
      <c r="V89" s="18">
        <v>2</v>
      </c>
      <c r="W89" s="18">
        <f t="shared" si="2"/>
        <v>17</v>
      </c>
      <c r="X89" s="16">
        <v>3018</v>
      </c>
      <c r="Y89" s="12">
        <v>12</v>
      </c>
      <c r="Z89" s="12">
        <v>0</v>
      </c>
      <c r="AA89" s="13">
        <v>1</v>
      </c>
      <c r="AB89" s="14" t="e">
        <v>#N/A</v>
      </c>
      <c r="AC89" s="14" t="e">
        <v>#N/A</v>
      </c>
      <c r="AD89" s="15"/>
      <c r="AE89" s="18"/>
      <c r="AF89" s="19"/>
      <c r="AG89" s="18"/>
      <c r="AH89" s="18"/>
      <c r="AI89" s="18"/>
      <c r="AJ89" s="18"/>
      <c r="AK89" s="18">
        <v>12</v>
      </c>
      <c r="AL89" s="18"/>
      <c r="AM89" s="18"/>
      <c r="AN89" s="18"/>
      <c r="AO89" s="18"/>
      <c r="AP89" s="18"/>
      <c r="AQ89" s="18">
        <v>5</v>
      </c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>
        <f t="shared" si="3"/>
        <v>17</v>
      </c>
    </row>
    <row r="90" spans="1:54" x14ac:dyDescent="0.3">
      <c r="A90" s="17" t="s">
        <v>175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9"/>
      <c r="M90" s="18"/>
      <c r="N90" s="18">
        <v>2</v>
      </c>
      <c r="O90" s="18">
        <v>2</v>
      </c>
      <c r="P90" s="18">
        <v>2</v>
      </c>
      <c r="Q90" s="18">
        <v>2</v>
      </c>
      <c r="R90" s="18">
        <v>2</v>
      </c>
      <c r="S90" s="18">
        <v>3</v>
      </c>
      <c r="T90" s="18">
        <v>1</v>
      </c>
      <c r="U90" s="18">
        <v>2</v>
      </c>
      <c r="V90" s="18">
        <v>2</v>
      </c>
      <c r="W90" s="18">
        <f t="shared" si="2"/>
        <v>18</v>
      </c>
      <c r="X90" s="16">
        <v>3018</v>
      </c>
      <c r="Y90" s="12">
        <v>12</v>
      </c>
      <c r="Z90" s="12">
        <v>0</v>
      </c>
      <c r="AA90" s="13">
        <v>1</v>
      </c>
      <c r="AB90" s="14" t="e">
        <v>#N/A</v>
      </c>
      <c r="AC90" s="14" t="e">
        <v>#N/A</v>
      </c>
      <c r="AD90" s="15"/>
      <c r="AE90" s="18"/>
      <c r="AF90" s="19"/>
      <c r="AG90" s="18"/>
      <c r="AH90" s="18"/>
      <c r="AI90" s="18"/>
      <c r="AJ90" s="18">
        <v>3</v>
      </c>
      <c r="AK90" s="18"/>
      <c r="AL90" s="18">
        <v>13</v>
      </c>
      <c r="AM90" s="18"/>
      <c r="AN90" s="18"/>
      <c r="AO90" s="18"/>
      <c r="AP90" s="18"/>
      <c r="AQ90" s="18"/>
      <c r="AR90" s="18">
        <v>2</v>
      </c>
      <c r="AS90" s="18"/>
      <c r="AT90" s="18"/>
      <c r="AU90" s="18"/>
      <c r="AV90" s="18"/>
      <c r="AW90" s="18"/>
      <c r="AX90" s="18"/>
      <c r="AY90" s="18"/>
      <c r="AZ90" s="18"/>
      <c r="BA90" s="18"/>
      <c r="BB90" s="18">
        <f t="shared" si="3"/>
        <v>18</v>
      </c>
    </row>
    <row r="91" spans="1:54" x14ac:dyDescent="0.3">
      <c r="A91" s="17" t="s">
        <v>176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9"/>
      <c r="M91" s="18"/>
      <c r="N91" s="18">
        <v>8</v>
      </c>
      <c r="O91" s="18">
        <v>8</v>
      </c>
      <c r="P91" s="18">
        <v>8</v>
      </c>
      <c r="Q91" s="18">
        <v>8</v>
      </c>
      <c r="R91" s="18">
        <v>8</v>
      </c>
      <c r="S91" s="18">
        <v>12</v>
      </c>
      <c r="T91" s="18">
        <v>4</v>
      </c>
      <c r="U91" s="18">
        <v>8</v>
      </c>
      <c r="V91" s="18">
        <v>8</v>
      </c>
      <c r="W91" s="18">
        <f t="shared" si="2"/>
        <v>72</v>
      </c>
      <c r="X91" s="16">
        <v>3018</v>
      </c>
      <c r="Y91" s="12">
        <v>48</v>
      </c>
      <c r="Z91" s="12">
        <v>0</v>
      </c>
      <c r="AA91" s="13">
        <v>4</v>
      </c>
      <c r="AB91" s="14" t="e">
        <v>#N/A</v>
      </c>
      <c r="AC91" s="14" t="e">
        <v>#N/A</v>
      </c>
      <c r="AD91" s="15"/>
      <c r="AE91" s="18"/>
      <c r="AF91" s="19"/>
      <c r="AG91" s="18"/>
      <c r="AH91" s="18"/>
      <c r="AI91" s="18"/>
      <c r="AJ91" s="18">
        <v>20</v>
      </c>
      <c r="AK91" s="18"/>
      <c r="AL91" s="18"/>
      <c r="AM91" s="18">
        <v>49</v>
      </c>
      <c r="AN91" s="18"/>
      <c r="AO91" s="18"/>
      <c r="AP91" s="18"/>
      <c r="AQ91" s="18"/>
      <c r="AR91" s="18"/>
      <c r="AS91" s="18">
        <v>3</v>
      </c>
      <c r="AT91" s="18"/>
      <c r="AU91" s="18"/>
      <c r="AV91" s="18"/>
      <c r="AW91" s="18"/>
      <c r="AX91" s="18"/>
      <c r="AY91" s="18"/>
      <c r="AZ91" s="18"/>
      <c r="BA91" s="18"/>
      <c r="BB91" s="18">
        <f t="shared" si="3"/>
        <v>72</v>
      </c>
    </row>
    <row r="92" spans="1:54" x14ac:dyDescent="0.3">
      <c r="A92" s="17" t="s">
        <v>178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9"/>
      <c r="M92" s="18">
        <v>2</v>
      </c>
      <c r="N92" s="18">
        <v>1</v>
      </c>
      <c r="O92" s="18">
        <v>3</v>
      </c>
      <c r="P92" s="18">
        <v>2</v>
      </c>
      <c r="Q92" s="18">
        <v>2</v>
      </c>
      <c r="R92" s="18">
        <v>2</v>
      </c>
      <c r="S92" s="18">
        <v>2</v>
      </c>
      <c r="T92" s="18">
        <v>1</v>
      </c>
      <c r="U92" s="18">
        <v>2</v>
      </c>
      <c r="V92" s="18">
        <v>3</v>
      </c>
      <c r="W92" s="18">
        <f t="shared" si="2"/>
        <v>20</v>
      </c>
      <c r="X92" s="16">
        <v>3018</v>
      </c>
      <c r="Y92" s="12">
        <v>12</v>
      </c>
      <c r="Z92" s="12">
        <v>0</v>
      </c>
      <c r="AA92" s="13">
        <v>1</v>
      </c>
      <c r="AB92" s="14" t="e">
        <v>#N/A</v>
      </c>
      <c r="AC92" s="14" t="e">
        <v>#N/A</v>
      </c>
      <c r="AD92" s="15"/>
      <c r="AE92" s="18"/>
      <c r="AF92" s="19"/>
      <c r="AG92" s="18">
        <v>1</v>
      </c>
      <c r="AH92" s="18"/>
      <c r="AI92" s="18"/>
      <c r="AJ92" s="18">
        <v>12</v>
      </c>
      <c r="AK92" s="18"/>
      <c r="AL92" s="18"/>
      <c r="AM92" s="18"/>
      <c r="AN92" s="18"/>
      <c r="AO92" s="18"/>
      <c r="AP92" s="18">
        <v>7</v>
      </c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>
        <f t="shared" si="3"/>
        <v>20</v>
      </c>
    </row>
    <row r="93" spans="1:54" x14ac:dyDescent="0.3">
      <c r="A93" s="17" t="s">
        <v>180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9"/>
      <c r="M93" s="18">
        <v>2</v>
      </c>
      <c r="N93" s="18">
        <v>2</v>
      </c>
      <c r="O93" s="18">
        <v>2</v>
      </c>
      <c r="P93" s="18">
        <v>2</v>
      </c>
      <c r="Q93" s="18">
        <v>2</v>
      </c>
      <c r="R93" s="18">
        <v>2</v>
      </c>
      <c r="S93" s="18">
        <v>2</v>
      </c>
      <c r="T93" s="18">
        <v>2</v>
      </c>
      <c r="U93" s="18">
        <v>2</v>
      </c>
      <c r="V93" s="18">
        <v>2</v>
      </c>
      <c r="W93" s="18">
        <f t="shared" si="2"/>
        <v>20</v>
      </c>
      <c r="X93" s="16">
        <v>3018</v>
      </c>
      <c r="Y93" s="12">
        <v>12</v>
      </c>
      <c r="Z93" s="12">
        <v>0</v>
      </c>
      <c r="AA93" s="13">
        <v>2</v>
      </c>
      <c r="AB93" s="14" t="e">
        <v>#N/A</v>
      </c>
      <c r="AC93" s="14" t="e">
        <v>#N/A</v>
      </c>
      <c r="AD93" s="15"/>
      <c r="AE93" s="18"/>
      <c r="AF93" s="19"/>
      <c r="AG93" s="18"/>
      <c r="AH93" s="18"/>
      <c r="AI93" s="18">
        <v>2</v>
      </c>
      <c r="AJ93" s="18">
        <v>3</v>
      </c>
      <c r="AK93" s="18"/>
      <c r="AL93" s="18">
        <v>12</v>
      </c>
      <c r="AM93" s="18"/>
      <c r="AN93" s="18"/>
      <c r="AO93" s="18"/>
      <c r="AP93" s="18"/>
      <c r="AQ93" s="18"/>
      <c r="AR93" s="18">
        <v>3</v>
      </c>
      <c r="AS93" s="18"/>
      <c r="AT93" s="18"/>
      <c r="AU93" s="18"/>
      <c r="AV93" s="18"/>
      <c r="AW93" s="18"/>
      <c r="AX93" s="18"/>
      <c r="AY93" s="18"/>
      <c r="AZ93" s="18"/>
      <c r="BA93" s="18"/>
      <c r="BB93" s="18">
        <f t="shared" si="3"/>
        <v>20</v>
      </c>
    </row>
    <row r="94" spans="1:54" x14ac:dyDescent="0.3">
      <c r="A94" s="17" t="s">
        <v>181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9"/>
      <c r="M94" s="18"/>
      <c r="N94" s="18"/>
      <c r="O94" s="18"/>
      <c r="P94" s="18"/>
      <c r="Q94" s="18">
        <v>17</v>
      </c>
      <c r="R94" s="18">
        <v>32</v>
      </c>
      <c r="S94" s="18">
        <v>48</v>
      </c>
      <c r="T94" s="18">
        <v>16</v>
      </c>
      <c r="U94" s="18">
        <v>32</v>
      </c>
      <c r="V94" s="18">
        <v>32</v>
      </c>
      <c r="W94" s="18">
        <f t="shared" si="2"/>
        <v>177</v>
      </c>
      <c r="X94" s="16">
        <v>3018</v>
      </c>
      <c r="Y94" s="12">
        <v>215</v>
      </c>
      <c r="Z94" s="12">
        <v>0</v>
      </c>
      <c r="AA94" s="13">
        <v>16</v>
      </c>
      <c r="AB94" s="14" t="e">
        <v>#N/A</v>
      </c>
      <c r="AC94" s="14" t="e">
        <v>#N/A</v>
      </c>
      <c r="AD94" s="15"/>
      <c r="AE94" s="18"/>
      <c r="AF94" s="19"/>
      <c r="AG94" s="18"/>
      <c r="AH94" s="18"/>
      <c r="AI94" s="18"/>
      <c r="AJ94" s="18"/>
      <c r="AK94" s="18"/>
      <c r="AL94" s="18"/>
      <c r="AM94" s="18">
        <v>64</v>
      </c>
      <c r="AN94" s="18"/>
      <c r="AO94" s="18">
        <v>64</v>
      </c>
      <c r="AP94" s="18"/>
      <c r="AQ94" s="18">
        <v>49</v>
      </c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>
        <f t="shared" si="3"/>
        <v>177</v>
      </c>
    </row>
    <row r="95" spans="1:54" x14ac:dyDescent="0.3">
      <c r="A95" s="17" t="s">
        <v>182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9"/>
      <c r="M95" s="18"/>
      <c r="N95" s="18">
        <v>2</v>
      </c>
      <c r="O95" s="18">
        <v>2</v>
      </c>
      <c r="P95" s="18">
        <v>2</v>
      </c>
      <c r="Q95" s="18">
        <v>2</v>
      </c>
      <c r="R95" s="18">
        <v>2</v>
      </c>
      <c r="S95" s="18">
        <v>3</v>
      </c>
      <c r="T95" s="18">
        <v>1</v>
      </c>
      <c r="U95" s="18">
        <v>2</v>
      </c>
      <c r="V95" s="18">
        <v>2</v>
      </c>
      <c r="W95" s="18">
        <f t="shared" si="2"/>
        <v>18</v>
      </c>
      <c r="X95" s="16">
        <v>3018</v>
      </c>
      <c r="Y95" s="12">
        <v>12</v>
      </c>
      <c r="Z95" s="12">
        <v>0</v>
      </c>
      <c r="AA95" s="13">
        <v>1</v>
      </c>
      <c r="AB95" s="14" t="e">
        <v>#N/A</v>
      </c>
      <c r="AC95" s="14" t="e">
        <v>#N/A</v>
      </c>
      <c r="AD95" s="15"/>
      <c r="AE95" s="18"/>
      <c r="AF95" s="19"/>
      <c r="AG95" s="18"/>
      <c r="AH95" s="18"/>
      <c r="AI95" s="18"/>
      <c r="AJ95" s="18">
        <v>5</v>
      </c>
      <c r="AK95" s="18"/>
      <c r="AL95" s="18"/>
      <c r="AM95" s="18">
        <v>12</v>
      </c>
      <c r="AN95" s="18"/>
      <c r="AO95" s="18"/>
      <c r="AP95" s="18"/>
      <c r="AQ95" s="18"/>
      <c r="AR95" s="18"/>
      <c r="AS95" s="18">
        <v>1</v>
      </c>
      <c r="AT95" s="18"/>
      <c r="AU95" s="18"/>
      <c r="AV95" s="18"/>
      <c r="AW95" s="18"/>
      <c r="AX95" s="18"/>
      <c r="AY95" s="18"/>
      <c r="AZ95" s="18"/>
      <c r="BA95" s="18"/>
      <c r="BB95" s="18">
        <f t="shared" si="3"/>
        <v>18</v>
      </c>
    </row>
    <row r="96" spans="1:54" x14ac:dyDescent="0.3">
      <c r="A96" s="17" t="s">
        <v>184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9"/>
      <c r="M96" s="18"/>
      <c r="N96" s="18">
        <v>1</v>
      </c>
      <c r="O96" s="18">
        <v>2</v>
      </c>
      <c r="P96" s="18">
        <v>2</v>
      </c>
      <c r="Q96" s="18">
        <v>2</v>
      </c>
      <c r="R96" s="18">
        <v>2</v>
      </c>
      <c r="S96" s="18">
        <v>3</v>
      </c>
      <c r="T96" s="18">
        <v>1</v>
      </c>
      <c r="U96" s="18">
        <v>2</v>
      </c>
      <c r="V96" s="18">
        <v>2</v>
      </c>
      <c r="W96" s="18">
        <f t="shared" si="2"/>
        <v>17</v>
      </c>
      <c r="X96" s="16">
        <v>3018</v>
      </c>
      <c r="Y96" s="12">
        <v>12</v>
      </c>
      <c r="Z96" s="12">
        <v>0</v>
      </c>
      <c r="AA96" s="13">
        <v>1</v>
      </c>
      <c r="AB96" s="14" t="e">
        <v>#N/A</v>
      </c>
      <c r="AC96" s="14" t="e">
        <v>#N/A</v>
      </c>
      <c r="AD96" s="15"/>
      <c r="AE96" s="18"/>
      <c r="AF96" s="19"/>
      <c r="AG96" s="18"/>
      <c r="AH96" s="18"/>
      <c r="AI96" s="18"/>
      <c r="AJ96" s="18"/>
      <c r="AK96" s="18">
        <v>3</v>
      </c>
      <c r="AL96" s="18">
        <v>1</v>
      </c>
      <c r="AM96" s="18">
        <v>12</v>
      </c>
      <c r="AN96" s="18"/>
      <c r="AO96" s="18"/>
      <c r="AP96" s="18"/>
      <c r="AQ96" s="18"/>
      <c r="AR96" s="18"/>
      <c r="AS96" s="18">
        <v>1</v>
      </c>
      <c r="AT96" s="18"/>
      <c r="AU96" s="18"/>
      <c r="AV96" s="18"/>
      <c r="AW96" s="18"/>
      <c r="AX96" s="18"/>
      <c r="AY96" s="18"/>
      <c r="AZ96" s="18"/>
      <c r="BA96" s="18"/>
      <c r="BB96" s="18">
        <f t="shared" si="3"/>
        <v>17</v>
      </c>
    </row>
    <row r="97" spans="1:54" x14ac:dyDescent="0.3">
      <c r="A97" s="17" t="s">
        <v>185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9"/>
      <c r="M97" s="18"/>
      <c r="N97" s="18">
        <v>10</v>
      </c>
      <c r="O97" s="18">
        <v>24</v>
      </c>
      <c r="P97" s="18">
        <v>24</v>
      </c>
      <c r="Q97" s="18">
        <v>24</v>
      </c>
      <c r="R97" s="18">
        <v>24</v>
      </c>
      <c r="S97" s="18">
        <v>36</v>
      </c>
      <c r="T97" s="18">
        <v>12</v>
      </c>
      <c r="U97" s="18">
        <v>24</v>
      </c>
      <c r="V97" s="18">
        <v>24</v>
      </c>
      <c r="W97" s="18">
        <f t="shared" si="2"/>
        <v>202</v>
      </c>
      <c r="X97" s="16">
        <v>3018</v>
      </c>
      <c r="Y97" s="12">
        <v>146</v>
      </c>
      <c r="Z97" s="12">
        <v>0</v>
      </c>
      <c r="AA97" s="13">
        <v>12</v>
      </c>
      <c r="AB97" s="14" t="e">
        <v>#N/A</v>
      </c>
      <c r="AC97" s="14" t="e">
        <v>#N/A</v>
      </c>
      <c r="AD97" s="15"/>
      <c r="AE97" s="18"/>
      <c r="AF97" s="19"/>
      <c r="AG97" s="18"/>
      <c r="AH97" s="18"/>
      <c r="AI97" s="18"/>
      <c r="AJ97" s="18"/>
      <c r="AK97" s="18">
        <v>58</v>
      </c>
      <c r="AL97" s="18"/>
      <c r="AM97" s="18">
        <v>48</v>
      </c>
      <c r="AN97" s="18"/>
      <c r="AO97" s="18">
        <v>48</v>
      </c>
      <c r="AP97" s="18"/>
      <c r="AQ97" s="18">
        <v>48</v>
      </c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>
        <f t="shared" si="3"/>
        <v>202</v>
      </c>
    </row>
    <row r="98" spans="1:54" x14ac:dyDescent="0.3">
      <c r="A98" s="17" t="s">
        <v>186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9"/>
      <c r="M98" s="18">
        <v>1</v>
      </c>
      <c r="N98" s="18">
        <v>2</v>
      </c>
      <c r="O98" s="18">
        <v>2</v>
      </c>
      <c r="P98" s="18">
        <v>2</v>
      </c>
      <c r="Q98" s="18">
        <v>2</v>
      </c>
      <c r="R98" s="18">
        <v>2</v>
      </c>
      <c r="S98" s="18">
        <v>2</v>
      </c>
      <c r="T98" s="18">
        <v>2</v>
      </c>
      <c r="U98" s="18">
        <v>2</v>
      </c>
      <c r="V98" s="18">
        <v>2</v>
      </c>
      <c r="W98" s="18">
        <f t="shared" si="2"/>
        <v>19</v>
      </c>
      <c r="X98" s="16">
        <v>3018</v>
      </c>
      <c r="Y98" s="12">
        <v>12</v>
      </c>
      <c r="Z98" s="12">
        <v>0</v>
      </c>
      <c r="AA98" s="13">
        <v>1</v>
      </c>
      <c r="AB98" s="14" t="e">
        <v>#N/A</v>
      </c>
      <c r="AC98" s="14" t="e">
        <v>#N/A</v>
      </c>
      <c r="AD98" s="15"/>
      <c r="AE98" s="18"/>
      <c r="AF98" s="19"/>
      <c r="AG98" s="18"/>
      <c r="AH98" s="18"/>
      <c r="AI98" s="18"/>
      <c r="AJ98" s="18">
        <v>4</v>
      </c>
      <c r="AK98" s="18"/>
      <c r="AL98" s="18">
        <v>13</v>
      </c>
      <c r="AM98" s="18"/>
      <c r="AN98" s="18"/>
      <c r="AO98" s="18"/>
      <c r="AP98" s="18"/>
      <c r="AQ98" s="18"/>
      <c r="AR98" s="18">
        <v>2</v>
      </c>
      <c r="AS98" s="18"/>
      <c r="AT98" s="18"/>
      <c r="AU98" s="18"/>
      <c r="AV98" s="18"/>
      <c r="AW98" s="18"/>
      <c r="AX98" s="18"/>
      <c r="AY98" s="18"/>
      <c r="AZ98" s="18"/>
      <c r="BA98" s="18"/>
      <c r="BB98" s="18">
        <f t="shared" si="3"/>
        <v>19</v>
      </c>
    </row>
    <row r="99" spans="1:54" x14ac:dyDescent="0.3">
      <c r="A99" s="17" t="s">
        <v>187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9"/>
      <c r="M99" s="18">
        <v>1</v>
      </c>
      <c r="N99" s="18">
        <v>2</v>
      </c>
      <c r="O99" s="18">
        <v>2</v>
      </c>
      <c r="P99" s="18">
        <v>2</v>
      </c>
      <c r="Q99" s="18">
        <v>2</v>
      </c>
      <c r="R99" s="18">
        <v>2</v>
      </c>
      <c r="S99" s="18">
        <v>2</v>
      </c>
      <c r="T99" s="18">
        <v>2</v>
      </c>
      <c r="U99" s="18">
        <v>2</v>
      </c>
      <c r="V99" s="18">
        <v>2</v>
      </c>
      <c r="W99" s="18">
        <f t="shared" si="2"/>
        <v>19</v>
      </c>
      <c r="X99" s="16">
        <v>3018</v>
      </c>
      <c r="Y99" s="12">
        <v>12</v>
      </c>
      <c r="Z99" s="12">
        <v>0</v>
      </c>
      <c r="AA99" s="13">
        <v>1</v>
      </c>
      <c r="AB99" s="14" t="e">
        <v>#N/A</v>
      </c>
      <c r="AC99" s="14" t="e">
        <v>#N/A</v>
      </c>
      <c r="AD99" s="15"/>
      <c r="AE99" s="18"/>
      <c r="AF99" s="19"/>
      <c r="AG99" s="18"/>
      <c r="AH99" s="18"/>
      <c r="AI99" s="18"/>
      <c r="AJ99" s="18"/>
      <c r="AK99" s="18">
        <v>1</v>
      </c>
      <c r="AL99" s="18">
        <v>2</v>
      </c>
      <c r="AM99" s="18">
        <v>12</v>
      </c>
      <c r="AN99" s="18"/>
      <c r="AO99" s="18"/>
      <c r="AP99" s="18"/>
      <c r="AQ99" s="18"/>
      <c r="AR99" s="18"/>
      <c r="AS99" s="18">
        <v>4</v>
      </c>
      <c r="AT99" s="18"/>
      <c r="AU99" s="18"/>
      <c r="AV99" s="18"/>
      <c r="AW99" s="18"/>
      <c r="AX99" s="18"/>
      <c r="AY99" s="18"/>
      <c r="AZ99" s="18"/>
      <c r="BA99" s="18"/>
      <c r="BB99" s="18">
        <f t="shared" si="3"/>
        <v>19</v>
      </c>
    </row>
    <row r="100" spans="1:54" x14ac:dyDescent="0.3">
      <c r="A100" s="17" t="s">
        <v>189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9"/>
      <c r="M100" s="18">
        <v>1</v>
      </c>
      <c r="N100" s="18">
        <v>2</v>
      </c>
      <c r="O100" s="18">
        <v>2</v>
      </c>
      <c r="P100" s="18">
        <v>2</v>
      </c>
      <c r="Q100" s="18">
        <v>2</v>
      </c>
      <c r="R100" s="18">
        <v>2</v>
      </c>
      <c r="S100" s="18">
        <v>2</v>
      </c>
      <c r="T100" s="18">
        <v>2</v>
      </c>
      <c r="U100" s="18">
        <v>2</v>
      </c>
      <c r="V100" s="18">
        <v>2</v>
      </c>
      <c r="W100" s="18">
        <f t="shared" si="2"/>
        <v>19</v>
      </c>
      <c r="X100" s="16">
        <v>3018</v>
      </c>
      <c r="Y100" s="12">
        <v>12</v>
      </c>
      <c r="Z100" s="12">
        <v>0</v>
      </c>
      <c r="AA100" s="13">
        <v>1</v>
      </c>
      <c r="AB100" s="14" t="e">
        <v>#N/A</v>
      </c>
      <c r="AC100" s="14" t="e">
        <v>#N/A</v>
      </c>
      <c r="AD100" s="15"/>
      <c r="AE100" s="18"/>
      <c r="AF100" s="19"/>
      <c r="AG100" s="18"/>
      <c r="AH100" s="18"/>
      <c r="AI100" s="18"/>
      <c r="AJ100" s="18">
        <v>4</v>
      </c>
      <c r="AK100" s="18"/>
      <c r="AL100" s="18">
        <v>13</v>
      </c>
      <c r="AM100" s="18"/>
      <c r="AN100" s="18"/>
      <c r="AO100" s="18"/>
      <c r="AP100" s="18"/>
      <c r="AQ100" s="18"/>
      <c r="AR100" s="18">
        <v>2</v>
      </c>
      <c r="AS100" s="18"/>
      <c r="AT100" s="18"/>
      <c r="AU100" s="18"/>
      <c r="AV100" s="18"/>
      <c r="AW100" s="18"/>
      <c r="AX100" s="18"/>
      <c r="AY100" s="18"/>
      <c r="AZ100" s="18"/>
      <c r="BA100" s="18"/>
      <c r="BB100" s="18">
        <f t="shared" si="3"/>
        <v>19</v>
      </c>
    </row>
    <row r="101" spans="1:54" x14ac:dyDescent="0.3">
      <c r="A101" s="17" t="s">
        <v>192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9"/>
      <c r="M101" s="18"/>
      <c r="N101" s="18"/>
      <c r="O101" s="18"/>
      <c r="P101" s="18">
        <v>1</v>
      </c>
      <c r="Q101" s="18">
        <v>2</v>
      </c>
      <c r="R101" s="18">
        <v>2</v>
      </c>
      <c r="S101" s="18">
        <v>3</v>
      </c>
      <c r="T101" s="18">
        <v>1</v>
      </c>
      <c r="U101" s="18">
        <v>2</v>
      </c>
      <c r="V101" s="18">
        <v>2</v>
      </c>
      <c r="W101" s="18">
        <f t="shared" si="2"/>
        <v>13</v>
      </c>
      <c r="X101" s="16">
        <v>3018</v>
      </c>
      <c r="Y101" s="12">
        <v>12</v>
      </c>
      <c r="Z101" s="12">
        <v>0</v>
      </c>
      <c r="AA101" s="13">
        <v>1</v>
      </c>
      <c r="AB101" s="14" t="e">
        <v>#N/A</v>
      </c>
      <c r="AC101" s="14" t="e">
        <v>#N/A</v>
      </c>
      <c r="AD101" s="15"/>
      <c r="AE101" s="18"/>
      <c r="AF101" s="19"/>
      <c r="AG101" s="18"/>
      <c r="AH101" s="18"/>
      <c r="AI101" s="18"/>
      <c r="AJ101" s="18"/>
      <c r="AK101" s="18"/>
      <c r="AL101" s="18"/>
      <c r="AM101" s="18">
        <v>7</v>
      </c>
      <c r="AN101" s="18"/>
      <c r="AO101" s="18"/>
      <c r="AP101" s="18">
        <v>6</v>
      </c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>
        <f t="shared" si="3"/>
        <v>13</v>
      </c>
    </row>
    <row r="102" spans="1:54" x14ac:dyDescent="0.3">
      <c r="A102" s="17" t="s">
        <v>193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9"/>
      <c r="M102" s="18"/>
      <c r="N102" s="18">
        <v>3</v>
      </c>
      <c r="O102" s="18">
        <v>4</v>
      </c>
      <c r="P102" s="18">
        <v>4</v>
      </c>
      <c r="Q102" s="18">
        <v>4</v>
      </c>
      <c r="R102" s="18">
        <v>4</v>
      </c>
      <c r="S102" s="18">
        <v>4</v>
      </c>
      <c r="T102" s="18">
        <v>4</v>
      </c>
      <c r="U102" s="18">
        <v>4</v>
      </c>
      <c r="V102" s="18">
        <v>4</v>
      </c>
      <c r="W102" s="18">
        <f t="shared" si="2"/>
        <v>35</v>
      </c>
      <c r="X102" s="16">
        <v>3018</v>
      </c>
      <c r="Y102" s="12">
        <v>25</v>
      </c>
      <c r="Z102" s="12">
        <v>0</v>
      </c>
      <c r="AA102" s="13">
        <v>2</v>
      </c>
      <c r="AB102" s="14" t="e">
        <v>#N/A</v>
      </c>
      <c r="AC102" s="14" t="e">
        <v>#N/A</v>
      </c>
      <c r="AD102" s="15"/>
      <c r="AE102" s="18"/>
      <c r="AF102" s="19"/>
      <c r="AG102" s="18"/>
      <c r="AH102" s="18"/>
      <c r="AI102" s="18"/>
      <c r="AJ102" s="18">
        <v>8</v>
      </c>
      <c r="AK102" s="18"/>
      <c r="AL102" s="18">
        <v>8</v>
      </c>
      <c r="AM102" s="18"/>
      <c r="AN102" s="18">
        <v>8</v>
      </c>
      <c r="AO102" s="18"/>
      <c r="AP102" s="18">
        <v>8</v>
      </c>
      <c r="AQ102" s="18"/>
      <c r="AR102" s="18">
        <v>3</v>
      </c>
      <c r="AS102" s="18"/>
      <c r="AT102" s="18"/>
      <c r="AU102" s="18"/>
      <c r="AV102" s="18"/>
      <c r="AW102" s="18"/>
      <c r="AX102" s="18"/>
      <c r="AY102" s="18"/>
      <c r="AZ102" s="18"/>
      <c r="BA102" s="18"/>
      <c r="BB102" s="18">
        <f t="shared" si="3"/>
        <v>35</v>
      </c>
    </row>
    <row r="103" spans="1:54" x14ac:dyDescent="0.3">
      <c r="A103" s="17" t="s">
        <v>194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9"/>
      <c r="M103" s="18"/>
      <c r="N103" s="18"/>
      <c r="O103" s="18"/>
      <c r="P103" s="18">
        <v>1</v>
      </c>
      <c r="Q103" s="18">
        <v>4</v>
      </c>
      <c r="R103" s="18">
        <v>4</v>
      </c>
      <c r="S103" s="18">
        <v>6</v>
      </c>
      <c r="T103" s="18">
        <v>2</v>
      </c>
      <c r="U103" s="18">
        <v>4</v>
      </c>
      <c r="V103" s="18">
        <v>4</v>
      </c>
      <c r="W103" s="18">
        <f t="shared" si="2"/>
        <v>25</v>
      </c>
      <c r="X103" s="16">
        <v>3018</v>
      </c>
      <c r="Y103" s="12">
        <v>25</v>
      </c>
      <c r="Z103" s="12">
        <v>0</v>
      </c>
      <c r="AA103" s="13">
        <v>2</v>
      </c>
      <c r="AB103" s="14" t="e">
        <v>#N/A</v>
      </c>
      <c r="AC103" s="14" t="e">
        <v>#N/A</v>
      </c>
      <c r="AD103" s="15"/>
      <c r="AE103" s="18"/>
      <c r="AF103" s="19"/>
      <c r="AG103" s="18"/>
      <c r="AH103" s="18"/>
      <c r="AI103" s="18"/>
      <c r="AJ103" s="18"/>
      <c r="AK103" s="18"/>
      <c r="AL103" s="18"/>
      <c r="AM103" s="18">
        <v>13</v>
      </c>
      <c r="AN103" s="18"/>
      <c r="AO103" s="18"/>
      <c r="AP103" s="18">
        <v>12</v>
      </c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>
        <f t="shared" si="3"/>
        <v>25</v>
      </c>
    </row>
    <row r="104" spans="1:54" x14ac:dyDescent="0.3">
      <c r="A104" s="17" t="s">
        <v>196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9"/>
      <c r="M104" s="18"/>
      <c r="N104" s="18"/>
      <c r="O104" s="18"/>
      <c r="P104" s="18">
        <v>4</v>
      </c>
      <c r="Q104" s="18">
        <v>4</v>
      </c>
      <c r="R104" s="18">
        <v>4</v>
      </c>
      <c r="S104" s="18">
        <v>4</v>
      </c>
      <c r="T104" s="18">
        <v>4</v>
      </c>
      <c r="U104" s="18">
        <v>4</v>
      </c>
      <c r="V104" s="18">
        <v>4</v>
      </c>
      <c r="W104" s="18">
        <f t="shared" si="2"/>
        <v>28</v>
      </c>
      <c r="X104" s="16">
        <v>3018</v>
      </c>
      <c r="Y104" s="12">
        <v>24</v>
      </c>
      <c r="Z104" s="12">
        <v>0</v>
      </c>
      <c r="AA104" s="13">
        <v>2</v>
      </c>
      <c r="AB104" s="14" t="e">
        <v>#N/A</v>
      </c>
      <c r="AC104" s="14" t="e">
        <v>#N/A</v>
      </c>
      <c r="AD104" s="15"/>
      <c r="AE104" s="18"/>
      <c r="AF104" s="19"/>
      <c r="AG104" s="18"/>
      <c r="AH104" s="18"/>
      <c r="AI104" s="18"/>
      <c r="AJ104" s="18">
        <v>10</v>
      </c>
      <c r="AK104" s="18"/>
      <c r="AL104" s="18">
        <v>2</v>
      </c>
      <c r="AM104" s="18">
        <v>8</v>
      </c>
      <c r="AN104" s="18"/>
      <c r="AO104" s="18">
        <v>8</v>
      </c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>
        <f t="shared" si="3"/>
        <v>28</v>
      </c>
    </row>
    <row r="105" spans="1:54" x14ac:dyDescent="0.3">
      <c r="A105" s="17" t="s">
        <v>198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9"/>
      <c r="M105" s="18"/>
      <c r="N105" s="18"/>
      <c r="O105" s="18"/>
      <c r="P105" s="18"/>
      <c r="Q105" s="18"/>
      <c r="R105" s="18">
        <v>1</v>
      </c>
      <c r="S105" s="18">
        <v>6</v>
      </c>
      <c r="T105" s="18">
        <v>2</v>
      </c>
      <c r="U105" s="18">
        <v>4</v>
      </c>
      <c r="V105" s="18">
        <v>4</v>
      </c>
      <c r="W105" s="18">
        <f t="shared" si="2"/>
        <v>17</v>
      </c>
      <c r="X105" s="16">
        <v>3018</v>
      </c>
      <c r="Y105" s="12">
        <v>31</v>
      </c>
      <c r="Z105" s="12">
        <v>0</v>
      </c>
      <c r="AA105" s="13">
        <v>2</v>
      </c>
      <c r="AB105" s="14" t="e">
        <v>#N/A</v>
      </c>
      <c r="AC105" s="14" t="e">
        <v>#N/A</v>
      </c>
      <c r="AD105" s="15"/>
      <c r="AE105" s="18"/>
      <c r="AF105" s="19"/>
      <c r="AG105" s="18"/>
      <c r="AH105" s="18"/>
      <c r="AI105" s="18"/>
      <c r="AJ105" s="18"/>
      <c r="AK105" s="18"/>
      <c r="AL105" s="18"/>
      <c r="AM105" s="18"/>
      <c r="AN105" s="18"/>
      <c r="AO105" s="18">
        <v>17</v>
      </c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>
        <f t="shared" si="3"/>
        <v>17</v>
      </c>
    </row>
    <row r="106" spans="1:54" x14ac:dyDescent="0.3">
      <c r="A106" s="17" t="s">
        <v>199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9"/>
      <c r="M106" s="18"/>
      <c r="N106" s="18"/>
      <c r="O106" s="18"/>
      <c r="P106" s="18">
        <v>1</v>
      </c>
      <c r="Q106" s="18">
        <v>4</v>
      </c>
      <c r="R106" s="18">
        <v>4</v>
      </c>
      <c r="S106" s="18">
        <v>6</v>
      </c>
      <c r="T106" s="18">
        <v>2</v>
      </c>
      <c r="U106" s="18">
        <v>4</v>
      </c>
      <c r="V106" s="18">
        <v>4</v>
      </c>
      <c r="W106" s="18">
        <f t="shared" si="2"/>
        <v>25</v>
      </c>
      <c r="X106" s="16">
        <v>3018</v>
      </c>
      <c r="Y106" s="12">
        <v>25</v>
      </c>
      <c r="Z106" s="12">
        <v>0</v>
      </c>
      <c r="AA106" s="13">
        <v>2</v>
      </c>
      <c r="AB106" s="14" t="e">
        <v>#N/A</v>
      </c>
      <c r="AC106" s="14" t="e">
        <v>#N/A</v>
      </c>
      <c r="AD106" s="15"/>
      <c r="AE106" s="18"/>
      <c r="AF106" s="19"/>
      <c r="AG106" s="18"/>
      <c r="AH106" s="18"/>
      <c r="AI106" s="18"/>
      <c r="AJ106" s="18"/>
      <c r="AK106" s="18"/>
      <c r="AL106" s="18"/>
      <c r="AM106" s="18">
        <v>6</v>
      </c>
      <c r="AN106" s="18">
        <v>19</v>
      </c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>
        <f t="shared" si="3"/>
        <v>25</v>
      </c>
    </row>
    <row r="107" spans="1:54" x14ac:dyDescent="0.3">
      <c r="A107" s="17" t="s">
        <v>140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9"/>
      <c r="M107" s="18"/>
      <c r="N107" s="18"/>
      <c r="O107" s="18"/>
      <c r="P107" s="18">
        <v>1</v>
      </c>
      <c r="Q107" s="18">
        <v>2</v>
      </c>
      <c r="R107" s="18">
        <v>2</v>
      </c>
      <c r="S107" s="18">
        <v>2</v>
      </c>
      <c r="T107" s="18">
        <v>2</v>
      </c>
      <c r="U107" s="18">
        <v>2</v>
      </c>
      <c r="V107" s="18">
        <v>2</v>
      </c>
      <c r="W107" s="18">
        <f t="shared" si="2"/>
        <v>13</v>
      </c>
      <c r="X107" s="16">
        <v>3019</v>
      </c>
      <c r="Y107" s="12">
        <v>10</v>
      </c>
      <c r="Z107" s="12">
        <v>0</v>
      </c>
      <c r="AA107" s="13">
        <v>1</v>
      </c>
      <c r="AB107" s="14" t="e">
        <v>#N/A</v>
      </c>
      <c r="AC107" s="14" t="e">
        <v>#N/A</v>
      </c>
      <c r="AD107" s="15"/>
      <c r="AE107" s="18"/>
      <c r="AF107" s="19"/>
      <c r="AG107" s="18"/>
      <c r="AH107" s="18"/>
      <c r="AI107" s="18"/>
      <c r="AJ107" s="18"/>
      <c r="AK107" s="18"/>
      <c r="AL107" s="18"/>
      <c r="AM107" s="18">
        <v>4</v>
      </c>
      <c r="AN107" s="18"/>
      <c r="AO107" s="18">
        <v>4</v>
      </c>
      <c r="AP107" s="18"/>
      <c r="AQ107" s="18">
        <v>4</v>
      </c>
      <c r="AR107" s="18"/>
      <c r="AS107" s="18">
        <v>1</v>
      </c>
      <c r="AT107" s="18"/>
      <c r="AU107" s="18"/>
      <c r="AV107" s="18"/>
      <c r="AW107" s="18"/>
      <c r="AX107" s="18"/>
      <c r="AY107" s="18"/>
      <c r="AZ107" s="18"/>
      <c r="BA107" s="18"/>
      <c r="BB107" s="18">
        <f t="shared" si="3"/>
        <v>13</v>
      </c>
    </row>
    <row r="108" spans="1:54" x14ac:dyDescent="0.3">
      <c r="A108" s="17" t="s">
        <v>143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9"/>
      <c r="M108" s="18"/>
      <c r="N108" s="18"/>
      <c r="O108" s="18"/>
      <c r="P108" s="18">
        <v>1</v>
      </c>
      <c r="Q108" s="18">
        <v>2</v>
      </c>
      <c r="R108" s="18">
        <v>2</v>
      </c>
      <c r="S108" s="18">
        <v>2</v>
      </c>
      <c r="T108" s="18">
        <v>2</v>
      </c>
      <c r="U108" s="18">
        <v>2</v>
      </c>
      <c r="V108" s="18">
        <v>2</v>
      </c>
      <c r="W108" s="18">
        <f t="shared" si="2"/>
        <v>13</v>
      </c>
      <c r="X108" s="16">
        <v>3019</v>
      </c>
      <c r="Y108" s="12">
        <v>11</v>
      </c>
      <c r="Z108" s="12">
        <v>0</v>
      </c>
      <c r="AA108" s="13">
        <v>1</v>
      </c>
      <c r="AB108" s="14">
        <v>201640830</v>
      </c>
      <c r="AC108" s="14" t="s">
        <v>26</v>
      </c>
      <c r="AD108" s="15"/>
      <c r="AE108" s="18"/>
      <c r="AF108" s="19"/>
      <c r="AG108" s="18"/>
      <c r="AH108" s="18"/>
      <c r="AI108" s="18"/>
      <c r="AJ108" s="18"/>
      <c r="AK108" s="18"/>
      <c r="AL108" s="18"/>
      <c r="AM108" s="18">
        <v>6</v>
      </c>
      <c r="AN108" s="18"/>
      <c r="AO108" s="18"/>
      <c r="AP108" s="18">
        <v>6</v>
      </c>
      <c r="AQ108" s="18"/>
      <c r="AR108" s="18"/>
      <c r="AS108" s="18">
        <v>1</v>
      </c>
      <c r="AT108" s="18"/>
      <c r="AU108" s="18"/>
      <c r="AV108" s="18"/>
      <c r="AW108" s="18"/>
      <c r="AX108" s="18"/>
      <c r="AY108" s="18"/>
      <c r="AZ108" s="18"/>
      <c r="BA108" s="18"/>
      <c r="BB108" s="18">
        <f t="shared" si="3"/>
        <v>13</v>
      </c>
    </row>
    <row r="109" spans="1:54" x14ac:dyDescent="0.3">
      <c r="A109" s="17" t="s">
        <v>191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9"/>
      <c r="M109" s="18"/>
      <c r="N109" s="18"/>
      <c r="O109" s="18"/>
      <c r="P109" s="18"/>
      <c r="Q109" s="18"/>
      <c r="R109" s="18">
        <v>4</v>
      </c>
      <c r="S109" s="18">
        <v>6</v>
      </c>
      <c r="T109" s="18">
        <v>2</v>
      </c>
      <c r="U109" s="18">
        <v>4</v>
      </c>
      <c r="V109" s="18">
        <v>4</v>
      </c>
      <c r="W109" s="18">
        <f t="shared" si="2"/>
        <v>20</v>
      </c>
      <c r="X109" s="16">
        <v>3019</v>
      </c>
      <c r="Y109" s="12">
        <v>27</v>
      </c>
      <c r="Z109" s="12">
        <v>0</v>
      </c>
      <c r="AA109" s="13">
        <v>2</v>
      </c>
      <c r="AB109" s="14" t="e">
        <v>#N/A</v>
      </c>
      <c r="AC109" s="14" t="e">
        <v>#N/A</v>
      </c>
      <c r="AD109" s="15"/>
      <c r="AE109" s="18"/>
      <c r="AF109" s="19"/>
      <c r="AG109" s="18"/>
      <c r="AH109" s="18"/>
      <c r="AI109" s="18"/>
      <c r="AJ109" s="18"/>
      <c r="AK109" s="18"/>
      <c r="AL109" s="18"/>
      <c r="AM109" s="18"/>
      <c r="AN109" s="18">
        <v>12</v>
      </c>
      <c r="AO109" s="18"/>
      <c r="AP109" s="18"/>
      <c r="AQ109" s="18">
        <v>8</v>
      </c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>
        <f t="shared" si="3"/>
        <v>20</v>
      </c>
    </row>
    <row r="110" spans="1:54" x14ac:dyDescent="0.3">
      <c r="A110" s="17" t="s">
        <v>195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9"/>
      <c r="M110" s="18"/>
      <c r="N110" s="18"/>
      <c r="O110" s="18"/>
      <c r="P110" s="18">
        <v>4</v>
      </c>
      <c r="Q110" s="18">
        <v>4</v>
      </c>
      <c r="R110" s="18">
        <v>4</v>
      </c>
      <c r="S110" s="18">
        <v>4</v>
      </c>
      <c r="T110" s="18">
        <v>4</v>
      </c>
      <c r="U110" s="18">
        <v>4</v>
      </c>
      <c r="V110" s="18">
        <v>4</v>
      </c>
      <c r="W110" s="18">
        <f t="shared" si="2"/>
        <v>28</v>
      </c>
      <c r="X110" s="16">
        <v>3019</v>
      </c>
      <c r="Y110" s="12">
        <v>25</v>
      </c>
      <c r="Z110" s="12">
        <v>0</v>
      </c>
      <c r="AA110" s="13">
        <v>2</v>
      </c>
      <c r="AB110" s="14" t="e">
        <v>#N/A</v>
      </c>
      <c r="AC110" s="14" t="e">
        <v>#N/A</v>
      </c>
      <c r="AD110" s="15"/>
      <c r="AE110" s="18"/>
      <c r="AF110" s="19"/>
      <c r="AG110" s="18"/>
      <c r="AH110" s="18"/>
      <c r="AI110" s="18"/>
      <c r="AJ110" s="18"/>
      <c r="AK110" s="18"/>
      <c r="AL110" s="18">
        <v>12</v>
      </c>
      <c r="AM110" s="18"/>
      <c r="AN110" s="18"/>
      <c r="AO110" s="18">
        <v>4</v>
      </c>
      <c r="AP110" s="18">
        <v>6</v>
      </c>
      <c r="AQ110" s="18"/>
      <c r="AR110" s="18">
        <v>4</v>
      </c>
      <c r="AS110" s="18">
        <v>2</v>
      </c>
      <c r="AT110" s="18"/>
      <c r="AU110" s="18"/>
      <c r="AV110" s="18"/>
      <c r="AW110" s="18"/>
      <c r="AX110" s="18"/>
      <c r="AY110" s="18"/>
      <c r="AZ110" s="18"/>
      <c r="BA110" s="18"/>
      <c r="BB110" s="18">
        <f t="shared" si="3"/>
        <v>28</v>
      </c>
    </row>
    <row r="111" spans="1:54" x14ac:dyDescent="0.3">
      <c r="A111" s="17" t="s">
        <v>200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9"/>
      <c r="M111" s="18"/>
      <c r="N111" s="18"/>
      <c r="O111" s="18"/>
      <c r="P111" s="18"/>
      <c r="Q111" s="18">
        <v>1</v>
      </c>
      <c r="R111" s="18">
        <v>2</v>
      </c>
      <c r="S111" s="18">
        <v>3</v>
      </c>
      <c r="T111" s="18">
        <v>1</v>
      </c>
      <c r="U111" s="18">
        <v>2</v>
      </c>
      <c r="V111" s="18">
        <v>2</v>
      </c>
      <c r="W111" s="18">
        <f t="shared" si="2"/>
        <v>11</v>
      </c>
      <c r="X111" s="16">
        <v>3019</v>
      </c>
      <c r="Y111" s="12">
        <v>14</v>
      </c>
      <c r="Z111" s="12">
        <v>0</v>
      </c>
      <c r="AA111" s="13">
        <v>1</v>
      </c>
      <c r="AB111" s="14" t="e">
        <v>#N/A</v>
      </c>
      <c r="AC111" s="14" t="e">
        <v>#N/A</v>
      </c>
      <c r="AD111" s="15"/>
      <c r="AE111" s="18"/>
      <c r="AF111" s="19"/>
      <c r="AG111" s="18"/>
      <c r="AH111" s="18"/>
      <c r="AI111" s="18"/>
      <c r="AJ111" s="18"/>
      <c r="AK111" s="18"/>
      <c r="AL111" s="18"/>
      <c r="AM111" s="18">
        <v>6</v>
      </c>
      <c r="AN111" s="18"/>
      <c r="AO111" s="18"/>
      <c r="AP111" s="18"/>
      <c r="AQ111" s="18">
        <v>5</v>
      </c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>
        <f t="shared" si="3"/>
        <v>11</v>
      </c>
    </row>
    <row r="112" spans="1:54" x14ac:dyDescent="0.3">
      <c r="A112" s="17" t="s">
        <v>201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9"/>
      <c r="M112" s="18"/>
      <c r="N112" s="18"/>
      <c r="O112" s="18"/>
      <c r="P112" s="18">
        <v>1</v>
      </c>
      <c r="Q112" s="18">
        <v>2</v>
      </c>
      <c r="R112" s="18">
        <v>2</v>
      </c>
      <c r="S112" s="18">
        <v>2</v>
      </c>
      <c r="T112" s="18">
        <v>2</v>
      </c>
      <c r="U112" s="18">
        <v>2</v>
      </c>
      <c r="V112" s="18">
        <v>2</v>
      </c>
      <c r="W112" s="18">
        <f t="shared" si="2"/>
        <v>13</v>
      </c>
      <c r="X112" s="16">
        <v>3019</v>
      </c>
      <c r="Y112" s="12">
        <v>13</v>
      </c>
      <c r="Z112" s="12">
        <v>0</v>
      </c>
      <c r="AA112" s="13">
        <v>1</v>
      </c>
      <c r="AB112" s="14" t="e">
        <v>#N/A</v>
      </c>
      <c r="AC112" s="14" t="e">
        <v>#N/A</v>
      </c>
      <c r="AD112" s="15"/>
      <c r="AE112" s="18"/>
      <c r="AF112" s="19"/>
      <c r="AG112" s="18"/>
      <c r="AH112" s="18"/>
      <c r="AI112" s="18"/>
      <c r="AJ112" s="18"/>
      <c r="AK112" s="18"/>
      <c r="AL112" s="18"/>
      <c r="AM112" s="18">
        <v>6</v>
      </c>
      <c r="AN112" s="18"/>
      <c r="AO112" s="18"/>
      <c r="AP112" s="18">
        <v>6</v>
      </c>
      <c r="AQ112" s="18"/>
      <c r="AR112" s="18"/>
      <c r="AS112" s="18">
        <v>1</v>
      </c>
      <c r="AT112" s="18"/>
      <c r="AU112" s="18"/>
      <c r="AV112" s="18"/>
      <c r="AW112" s="18"/>
      <c r="AX112" s="18"/>
      <c r="AY112" s="18"/>
      <c r="AZ112" s="18"/>
      <c r="BA112" s="18"/>
      <c r="BB112" s="18">
        <f t="shared" si="3"/>
        <v>13</v>
      </c>
    </row>
    <row r="113" spans="1:54" x14ac:dyDescent="0.3">
      <c r="A113" s="17" t="s">
        <v>202</v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9"/>
      <c r="M113" s="18"/>
      <c r="N113" s="18"/>
      <c r="O113" s="18"/>
      <c r="P113" s="18">
        <v>1</v>
      </c>
      <c r="Q113" s="18">
        <v>2</v>
      </c>
      <c r="R113" s="18">
        <v>2</v>
      </c>
      <c r="S113" s="18">
        <v>2</v>
      </c>
      <c r="T113" s="18">
        <v>2</v>
      </c>
      <c r="U113" s="18">
        <v>2</v>
      </c>
      <c r="V113" s="18">
        <v>2</v>
      </c>
      <c r="W113" s="18">
        <f t="shared" si="2"/>
        <v>13</v>
      </c>
      <c r="X113" s="16">
        <v>3019</v>
      </c>
      <c r="Y113" s="12">
        <v>16</v>
      </c>
      <c r="Z113" s="12">
        <v>0</v>
      </c>
      <c r="AA113" s="13">
        <v>1</v>
      </c>
      <c r="AB113" s="14" t="e">
        <v>#N/A</v>
      </c>
      <c r="AC113" s="14" t="e">
        <v>#N/A</v>
      </c>
      <c r="AD113" s="15"/>
      <c r="AE113" s="18"/>
      <c r="AF113" s="19"/>
      <c r="AG113" s="18"/>
      <c r="AH113" s="18"/>
      <c r="AI113" s="18"/>
      <c r="AJ113" s="18"/>
      <c r="AK113" s="18"/>
      <c r="AL113" s="18"/>
      <c r="AM113" s="18">
        <v>4</v>
      </c>
      <c r="AN113" s="18"/>
      <c r="AO113" s="18">
        <v>4</v>
      </c>
      <c r="AP113" s="18"/>
      <c r="AQ113" s="18">
        <v>4</v>
      </c>
      <c r="AR113" s="18"/>
      <c r="AS113" s="18">
        <v>1</v>
      </c>
      <c r="AT113" s="18"/>
      <c r="AU113" s="18"/>
      <c r="AV113" s="18"/>
      <c r="AW113" s="18"/>
      <c r="AX113" s="18"/>
      <c r="AY113" s="18"/>
      <c r="AZ113" s="18"/>
      <c r="BA113" s="18"/>
      <c r="BB113" s="18">
        <f t="shared" si="3"/>
        <v>13</v>
      </c>
    </row>
    <row r="114" spans="1:54" x14ac:dyDescent="0.3">
      <c r="A114" s="17" t="s">
        <v>203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9"/>
      <c r="M114" s="18"/>
      <c r="N114" s="18">
        <v>2</v>
      </c>
      <c r="O114" s="18">
        <v>2</v>
      </c>
      <c r="P114" s="18">
        <v>2</v>
      </c>
      <c r="Q114" s="18">
        <v>2</v>
      </c>
      <c r="R114" s="18">
        <v>2</v>
      </c>
      <c r="S114" s="18">
        <v>2</v>
      </c>
      <c r="T114" s="18">
        <v>2</v>
      </c>
      <c r="U114" s="18">
        <v>2</v>
      </c>
      <c r="V114" s="18">
        <v>2</v>
      </c>
      <c r="W114" s="18">
        <f t="shared" si="2"/>
        <v>18</v>
      </c>
      <c r="X114" s="16">
        <v>3019</v>
      </c>
      <c r="Y114" s="12">
        <v>13</v>
      </c>
      <c r="Z114" s="12">
        <v>0</v>
      </c>
      <c r="AA114" s="13">
        <v>1</v>
      </c>
      <c r="AB114" s="14" t="e">
        <v>#N/A</v>
      </c>
      <c r="AC114" s="14" t="e">
        <v>#N/A</v>
      </c>
      <c r="AD114" s="15"/>
      <c r="AE114" s="18"/>
      <c r="AF114" s="19"/>
      <c r="AG114" s="18"/>
      <c r="AH114" s="18"/>
      <c r="AI114" s="18"/>
      <c r="AJ114" s="18">
        <v>11</v>
      </c>
      <c r="AK114" s="18"/>
      <c r="AL114" s="18"/>
      <c r="AM114" s="18"/>
      <c r="AN114" s="18"/>
      <c r="AO114" s="18"/>
      <c r="AP114" s="18">
        <v>7</v>
      </c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>
        <f t="shared" si="3"/>
        <v>18</v>
      </c>
    </row>
    <row r="115" spans="1:54" x14ac:dyDescent="0.3">
      <c r="A115" s="17" t="s">
        <v>204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9"/>
      <c r="M115" s="18"/>
      <c r="N115" s="18">
        <v>2</v>
      </c>
      <c r="O115" s="18">
        <v>2</v>
      </c>
      <c r="P115" s="18">
        <v>2</v>
      </c>
      <c r="Q115" s="18">
        <v>2</v>
      </c>
      <c r="R115" s="18">
        <v>2</v>
      </c>
      <c r="S115" s="18">
        <v>2</v>
      </c>
      <c r="T115" s="18">
        <v>2</v>
      </c>
      <c r="U115" s="18">
        <v>2</v>
      </c>
      <c r="V115" s="18">
        <v>2</v>
      </c>
      <c r="W115" s="18">
        <f t="shared" si="2"/>
        <v>18</v>
      </c>
      <c r="X115" s="16">
        <v>3019</v>
      </c>
      <c r="Y115" s="12">
        <v>13</v>
      </c>
      <c r="Z115" s="12">
        <v>0</v>
      </c>
      <c r="AA115" s="13">
        <v>1</v>
      </c>
      <c r="AB115" s="14" t="e">
        <v>#N/A</v>
      </c>
      <c r="AC115" s="14" t="e">
        <v>#N/A</v>
      </c>
      <c r="AD115" s="15"/>
      <c r="AE115" s="18"/>
      <c r="AF115" s="19"/>
      <c r="AG115" s="18"/>
      <c r="AH115" s="18"/>
      <c r="AI115" s="18"/>
      <c r="AJ115" s="18">
        <v>4</v>
      </c>
      <c r="AK115" s="18"/>
      <c r="AL115" s="18">
        <v>4</v>
      </c>
      <c r="AM115" s="18"/>
      <c r="AN115" s="18">
        <v>4</v>
      </c>
      <c r="AO115" s="18"/>
      <c r="AP115" s="18">
        <v>4</v>
      </c>
      <c r="AQ115" s="18"/>
      <c r="AR115" s="18">
        <v>2</v>
      </c>
      <c r="AS115" s="18"/>
      <c r="AT115" s="18"/>
      <c r="AU115" s="18"/>
      <c r="AV115" s="18"/>
      <c r="AW115" s="18"/>
      <c r="AX115" s="18"/>
      <c r="AY115" s="18"/>
      <c r="AZ115" s="18"/>
      <c r="BA115" s="18"/>
      <c r="BB115" s="18">
        <f t="shared" si="3"/>
        <v>18</v>
      </c>
    </row>
    <row r="116" spans="1:54" x14ac:dyDescent="0.3">
      <c r="A116" s="17" t="s">
        <v>205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9"/>
      <c r="M116" s="18"/>
      <c r="N116" s="18">
        <v>2</v>
      </c>
      <c r="O116" s="18">
        <v>2</v>
      </c>
      <c r="P116" s="18">
        <v>2</v>
      </c>
      <c r="Q116" s="18">
        <v>2</v>
      </c>
      <c r="R116" s="18">
        <v>2</v>
      </c>
      <c r="S116" s="18">
        <v>2</v>
      </c>
      <c r="T116" s="18">
        <v>2</v>
      </c>
      <c r="U116" s="18">
        <v>2</v>
      </c>
      <c r="V116" s="18">
        <v>2</v>
      </c>
      <c r="W116" s="18">
        <f t="shared" si="2"/>
        <v>18</v>
      </c>
      <c r="X116" s="16">
        <v>3019</v>
      </c>
      <c r="Y116" s="12">
        <v>13</v>
      </c>
      <c r="Z116" s="12">
        <v>0</v>
      </c>
      <c r="AA116" s="13">
        <v>1</v>
      </c>
      <c r="AB116" s="14" t="e">
        <v>#N/A</v>
      </c>
      <c r="AC116" s="14" t="e">
        <v>#N/A</v>
      </c>
      <c r="AD116" s="15"/>
      <c r="AE116" s="18"/>
      <c r="AF116" s="19"/>
      <c r="AG116" s="18"/>
      <c r="AH116" s="18"/>
      <c r="AI116" s="18"/>
      <c r="AJ116" s="18">
        <v>4</v>
      </c>
      <c r="AK116" s="18"/>
      <c r="AL116" s="18">
        <v>4</v>
      </c>
      <c r="AM116" s="18"/>
      <c r="AN116" s="18">
        <v>4</v>
      </c>
      <c r="AO116" s="18"/>
      <c r="AP116" s="18">
        <v>4</v>
      </c>
      <c r="AQ116" s="18"/>
      <c r="AR116" s="18">
        <v>2</v>
      </c>
      <c r="AS116" s="18"/>
      <c r="AT116" s="18"/>
      <c r="AU116" s="18"/>
      <c r="AV116" s="18"/>
      <c r="AW116" s="18"/>
      <c r="AX116" s="18"/>
      <c r="AY116" s="18"/>
      <c r="AZ116" s="18"/>
      <c r="BA116" s="18"/>
      <c r="BB116" s="18">
        <f t="shared" si="3"/>
        <v>18</v>
      </c>
    </row>
    <row r="117" spans="1:54" x14ac:dyDescent="0.3">
      <c r="A117" s="17" t="s">
        <v>206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9"/>
      <c r="M117" s="18">
        <v>1</v>
      </c>
      <c r="N117" s="18">
        <v>1</v>
      </c>
      <c r="O117" s="18">
        <v>3</v>
      </c>
      <c r="P117" s="18">
        <v>2</v>
      </c>
      <c r="Q117" s="18">
        <v>2</v>
      </c>
      <c r="R117" s="18">
        <v>2</v>
      </c>
      <c r="S117" s="18">
        <v>2</v>
      </c>
      <c r="T117" s="18">
        <v>1</v>
      </c>
      <c r="U117" s="18">
        <v>2</v>
      </c>
      <c r="V117" s="18">
        <v>3</v>
      </c>
      <c r="W117" s="18">
        <f t="shared" si="2"/>
        <v>19</v>
      </c>
      <c r="X117" s="16">
        <v>3019</v>
      </c>
      <c r="Y117" s="12">
        <v>13</v>
      </c>
      <c r="Z117" s="12">
        <v>0</v>
      </c>
      <c r="AA117" s="13">
        <v>1</v>
      </c>
      <c r="AB117" s="14" t="e">
        <v>#N/A</v>
      </c>
      <c r="AC117" s="14" t="e">
        <v>#N/A</v>
      </c>
      <c r="AD117" s="15"/>
      <c r="AE117" s="18"/>
      <c r="AF117" s="19"/>
      <c r="AG117" s="18"/>
      <c r="AH117" s="18"/>
      <c r="AI117" s="18"/>
      <c r="AJ117" s="18">
        <v>12</v>
      </c>
      <c r="AK117" s="18"/>
      <c r="AL117" s="18"/>
      <c r="AM117" s="18"/>
      <c r="AN117" s="18"/>
      <c r="AO117" s="18"/>
      <c r="AP117" s="18">
        <v>7</v>
      </c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>
        <f t="shared" si="3"/>
        <v>19</v>
      </c>
    </row>
    <row r="118" spans="1:54" x14ac:dyDescent="0.3">
      <c r="A118" s="17" t="s">
        <v>208</v>
      </c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9"/>
      <c r="M118" s="18"/>
      <c r="N118" s="18"/>
      <c r="O118" s="18"/>
      <c r="P118" s="18"/>
      <c r="Q118" s="18">
        <v>2</v>
      </c>
      <c r="R118" s="18">
        <v>2</v>
      </c>
      <c r="S118" s="18">
        <v>3</v>
      </c>
      <c r="T118" s="18">
        <v>1</v>
      </c>
      <c r="U118" s="18">
        <v>2</v>
      </c>
      <c r="V118" s="18">
        <v>2</v>
      </c>
      <c r="W118" s="18">
        <f t="shared" si="2"/>
        <v>12</v>
      </c>
      <c r="X118" s="16">
        <v>3019</v>
      </c>
      <c r="Y118" s="12">
        <v>13</v>
      </c>
      <c r="Z118" s="12">
        <v>0</v>
      </c>
      <c r="AA118" s="13">
        <v>1</v>
      </c>
      <c r="AB118" s="14" t="e">
        <v>#N/A</v>
      </c>
      <c r="AC118" s="14" t="e">
        <v>#N/A</v>
      </c>
      <c r="AD118" s="15"/>
      <c r="AE118" s="18"/>
      <c r="AF118" s="19"/>
      <c r="AG118" s="18"/>
      <c r="AH118" s="18"/>
      <c r="AI118" s="18"/>
      <c r="AJ118" s="18"/>
      <c r="AK118" s="18"/>
      <c r="AL118" s="18"/>
      <c r="AM118" s="18">
        <v>4</v>
      </c>
      <c r="AN118" s="18"/>
      <c r="AO118" s="18">
        <v>4</v>
      </c>
      <c r="AP118" s="18"/>
      <c r="AQ118" s="18">
        <v>4</v>
      </c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>
        <f t="shared" si="3"/>
        <v>12</v>
      </c>
    </row>
    <row r="119" spans="1:54" x14ac:dyDescent="0.3">
      <c r="A119" s="17" t="s">
        <v>209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9"/>
      <c r="M119" s="18">
        <v>2</v>
      </c>
      <c r="N119" s="18">
        <v>2</v>
      </c>
      <c r="O119" s="18">
        <v>2</v>
      </c>
      <c r="P119" s="18">
        <v>2</v>
      </c>
      <c r="Q119" s="18">
        <v>2</v>
      </c>
      <c r="R119" s="18">
        <v>2</v>
      </c>
      <c r="S119" s="18">
        <v>2</v>
      </c>
      <c r="T119" s="18">
        <v>2</v>
      </c>
      <c r="U119" s="18">
        <v>2</v>
      </c>
      <c r="V119" s="18">
        <v>2</v>
      </c>
      <c r="W119" s="18">
        <f t="shared" si="2"/>
        <v>20</v>
      </c>
      <c r="X119" s="16">
        <v>3019</v>
      </c>
      <c r="Y119" s="12">
        <v>13</v>
      </c>
      <c r="Z119" s="12">
        <v>0</v>
      </c>
      <c r="AA119" s="13">
        <v>1</v>
      </c>
      <c r="AB119" s="14" t="e">
        <v>#N/A</v>
      </c>
      <c r="AC119" s="14" t="e">
        <v>#N/A</v>
      </c>
      <c r="AD119" s="15"/>
      <c r="AE119" s="18"/>
      <c r="AF119" s="19"/>
      <c r="AG119" s="18"/>
      <c r="AH119" s="18"/>
      <c r="AI119" s="18">
        <v>3</v>
      </c>
      <c r="AJ119" s="18"/>
      <c r="AK119" s="18">
        <v>12</v>
      </c>
      <c r="AL119" s="18"/>
      <c r="AM119" s="18"/>
      <c r="AN119" s="18"/>
      <c r="AO119" s="18"/>
      <c r="AP119" s="18"/>
      <c r="AQ119" s="18">
        <v>5</v>
      </c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>
        <f t="shared" si="3"/>
        <v>20</v>
      </c>
    </row>
    <row r="120" spans="1:54" x14ac:dyDescent="0.3">
      <c r="A120" s="17" t="s">
        <v>211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9"/>
      <c r="M120" s="18"/>
      <c r="N120" s="18"/>
      <c r="O120" s="18"/>
      <c r="P120" s="18"/>
      <c r="Q120" s="18">
        <v>2</v>
      </c>
      <c r="R120" s="18">
        <v>2</v>
      </c>
      <c r="S120" s="18">
        <v>3</v>
      </c>
      <c r="T120" s="18">
        <v>1</v>
      </c>
      <c r="U120" s="18">
        <v>2</v>
      </c>
      <c r="V120" s="18">
        <v>2</v>
      </c>
      <c r="W120" s="18">
        <f t="shared" si="2"/>
        <v>12</v>
      </c>
      <c r="X120" s="16">
        <v>3019</v>
      </c>
      <c r="Y120" s="12">
        <v>13</v>
      </c>
      <c r="Z120" s="12">
        <v>0</v>
      </c>
      <c r="AA120" s="13">
        <v>1</v>
      </c>
      <c r="AB120" s="14" t="e">
        <v>#N/A</v>
      </c>
      <c r="AC120" s="14" t="e">
        <v>#N/A</v>
      </c>
      <c r="AD120" s="15"/>
      <c r="AE120" s="18"/>
      <c r="AF120" s="19"/>
      <c r="AG120" s="18"/>
      <c r="AH120" s="18"/>
      <c r="AI120" s="18"/>
      <c r="AJ120" s="18"/>
      <c r="AK120" s="18"/>
      <c r="AL120" s="18"/>
      <c r="AM120" s="18">
        <v>12</v>
      </c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>
        <f t="shared" si="3"/>
        <v>12</v>
      </c>
    </row>
    <row r="121" spans="1:54" x14ac:dyDescent="0.3">
      <c r="A121" s="17" t="s">
        <v>212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9"/>
      <c r="M121" s="18"/>
      <c r="N121" s="18"/>
      <c r="O121" s="18"/>
      <c r="P121" s="18"/>
      <c r="Q121" s="18">
        <v>4</v>
      </c>
      <c r="R121" s="18">
        <v>4</v>
      </c>
      <c r="S121" s="18">
        <v>6</v>
      </c>
      <c r="T121" s="18">
        <v>2</v>
      </c>
      <c r="U121" s="18">
        <v>4</v>
      </c>
      <c r="V121" s="18">
        <v>4</v>
      </c>
      <c r="W121" s="18">
        <f t="shared" si="2"/>
        <v>24</v>
      </c>
      <c r="X121" s="16">
        <v>3019</v>
      </c>
      <c r="Y121" s="12">
        <v>26</v>
      </c>
      <c r="Z121" s="12">
        <v>0</v>
      </c>
      <c r="AA121" s="13">
        <v>2</v>
      </c>
      <c r="AB121" s="14" t="e">
        <v>#N/A</v>
      </c>
      <c r="AC121" s="14" t="e">
        <v>#N/A</v>
      </c>
      <c r="AD121" s="15"/>
      <c r="AE121" s="18"/>
      <c r="AF121" s="19"/>
      <c r="AG121" s="18"/>
      <c r="AH121" s="18"/>
      <c r="AI121" s="18"/>
      <c r="AJ121" s="18"/>
      <c r="AK121" s="18"/>
      <c r="AL121" s="18"/>
      <c r="AM121" s="18">
        <v>12</v>
      </c>
      <c r="AN121" s="18"/>
      <c r="AO121" s="18"/>
      <c r="AP121" s="18">
        <v>12</v>
      </c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>
        <f t="shared" si="3"/>
        <v>24</v>
      </c>
    </row>
    <row r="122" spans="1:54" x14ac:dyDescent="0.3">
      <c r="A122" s="17" t="s">
        <v>213</v>
      </c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9"/>
      <c r="M122" s="18"/>
      <c r="N122" s="18"/>
      <c r="O122" s="18"/>
      <c r="P122" s="18"/>
      <c r="Q122" s="18">
        <v>4</v>
      </c>
      <c r="R122" s="18">
        <v>4</v>
      </c>
      <c r="S122" s="18">
        <v>6</v>
      </c>
      <c r="T122" s="18">
        <v>2</v>
      </c>
      <c r="U122" s="18">
        <v>4</v>
      </c>
      <c r="V122" s="18">
        <v>4</v>
      </c>
      <c r="W122" s="18">
        <f t="shared" si="2"/>
        <v>24</v>
      </c>
      <c r="X122" s="16">
        <v>3019</v>
      </c>
      <c r="Y122" s="12">
        <v>26</v>
      </c>
      <c r="Z122" s="12">
        <v>0</v>
      </c>
      <c r="AA122" s="13">
        <v>2</v>
      </c>
      <c r="AB122" s="14" t="e">
        <v>#N/A</v>
      </c>
      <c r="AC122" s="14" t="e">
        <v>#N/A</v>
      </c>
      <c r="AD122" s="15"/>
      <c r="AE122" s="18"/>
      <c r="AF122" s="19"/>
      <c r="AG122" s="18"/>
      <c r="AH122" s="18"/>
      <c r="AI122" s="18"/>
      <c r="AJ122" s="18"/>
      <c r="AK122" s="18"/>
      <c r="AL122" s="18"/>
      <c r="AM122" s="18">
        <v>12</v>
      </c>
      <c r="AN122" s="18"/>
      <c r="AO122" s="18"/>
      <c r="AP122" s="18">
        <v>12</v>
      </c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>
        <f t="shared" si="3"/>
        <v>24</v>
      </c>
    </row>
    <row r="123" spans="1:54" x14ac:dyDescent="0.3">
      <c r="A123" s="17" t="s">
        <v>214</v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9"/>
      <c r="M123" s="18">
        <v>21</v>
      </c>
      <c r="N123" s="18"/>
      <c r="O123" s="18"/>
      <c r="P123" s="18"/>
      <c r="Q123" s="18"/>
      <c r="R123" s="18"/>
      <c r="S123" s="18"/>
      <c r="T123" s="18"/>
      <c r="U123" s="18"/>
      <c r="V123" s="18"/>
      <c r="W123" s="18">
        <f t="shared" si="2"/>
        <v>21</v>
      </c>
      <c r="X123" s="16">
        <v>3019</v>
      </c>
      <c r="Y123" s="12">
        <v>0</v>
      </c>
      <c r="Z123" s="12">
        <v>0</v>
      </c>
      <c r="AA123" s="13">
        <v>1</v>
      </c>
      <c r="AB123" s="14" t="e">
        <v>#N/A</v>
      </c>
      <c r="AC123" s="14" t="e">
        <v>#N/A</v>
      </c>
      <c r="AD123" s="15"/>
      <c r="AE123" s="18"/>
      <c r="AF123" s="19"/>
      <c r="AG123" s="18">
        <v>14</v>
      </c>
      <c r="AH123" s="18"/>
      <c r="AI123" s="18"/>
      <c r="AJ123" s="18"/>
      <c r="AK123" s="18">
        <v>4</v>
      </c>
      <c r="AL123" s="18"/>
      <c r="AM123" s="18"/>
      <c r="AN123" s="18"/>
      <c r="AO123" s="18"/>
      <c r="AP123" s="18"/>
      <c r="AQ123" s="18"/>
      <c r="AR123" s="18">
        <v>3</v>
      </c>
      <c r="AS123" s="18"/>
      <c r="AT123" s="18"/>
      <c r="AU123" s="18"/>
      <c r="AV123" s="18"/>
      <c r="AW123" s="18"/>
      <c r="AX123" s="18"/>
      <c r="AY123" s="18"/>
      <c r="AZ123" s="18"/>
      <c r="BA123" s="18"/>
      <c r="BB123" s="18">
        <f t="shared" si="3"/>
        <v>21</v>
      </c>
    </row>
    <row r="124" spans="1:54" x14ac:dyDescent="0.3">
      <c r="A124" s="17" t="s">
        <v>215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9"/>
      <c r="M124" s="18">
        <v>2</v>
      </c>
      <c r="N124" s="18">
        <v>4</v>
      </c>
      <c r="O124" s="18">
        <v>4</v>
      </c>
      <c r="P124" s="18">
        <v>4</v>
      </c>
      <c r="Q124" s="18">
        <v>4</v>
      </c>
      <c r="R124" s="18">
        <v>4</v>
      </c>
      <c r="S124" s="18">
        <v>4</v>
      </c>
      <c r="T124" s="18">
        <v>4</v>
      </c>
      <c r="U124" s="18">
        <v>4</v>
      </c>
      <c r="V124" s="18">
        <v>4</v>
      </c>
      <c r="W124" s="18">
        <f t="shared" si="2"/>
        <v>38</v>
      </c>
      <c r="X124" s="16">
        <v>3019</v>
      </c>
      <c r="Y124" s="12">
        <v>26</v>
      </c>
      <c r="Z124" s="12">
        <v>0</v>
      </c>
      <c r="AA124" s="13">
        <v>2</v>
      </c>
      <c r="AB124" s="14" t="e">
        <v>#N/A</v>
      </c>
      <c r="AC124" s="14" t="e">
        <v>#N/A</v>
      </c>
      <c r="AD124" s="15"/>
      <c r="AE124" s="18"/>
      <c r="AF124" s="19"/>
      <c r="AG124" s="18"/>
      <c r="AH124" s="18"/>
      <c r="AI124" s="18"/>
      <c r="AJ124" s="18">
        <v>8</v>
      </c>
      <c r="AK124" s="18"/>
      <c r="AL124" s="18">
        <v>8</v>
      </c>
      <c r="AM124" s="18"/>
      <c r="AN124" s="18">
        <v>8</v>
      </c>
      <c r="AO124" s="18"/>
      <c r="AP124" s="18">
        <v>8</v>
      </c>
      <c r="AQ124" s="18"/>
      <c r="AR124" s="18">
        <v>6</v>
      </c>
      <c r="AS124" s="18"/>
      <c r="AT124" s="18"/>
      <c r="AU124" s="18"/>
      <c r="AV124" s="18"/>
      <c r="AW124" s="18"/>
      <c r="AX124" s="18"/>
      <c r="AY124" s="18"/>
      <c r="AZ124" s="18"/>
      <c r="BA124" s="18"/>
      <c r="BB124" s="18">
        <f t="shared" si="3"/>
        <v>38</v>
      </c>
    </row>
    <row r="125" spans="1:54" x14ac:dyDescent="0.3">
      <c r="A125" s="17" t="s">
        <v>216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9"/>
      <c r="M125" s="18"/>
      <c r="N125" s="18">
        <v>4</v>
      </c>
      <c r="O125" s="18">
        <v>8</v>
      </c>
      <c r="P125" s="18">
        <v>8</v>
      </c>
      <c r="Q125" s="18">
        <v>8</v>
      </c>
      <c r="R125" s="18">
        <v>8</v>
      </c>
      <c r="S125" s="18">
        <v>12</v>
      </c>
      <c r="T125" s="18">
        <v>4</v>
      </c>
      <c r="U125" s="18">
        <v>8</v>
      </c>
      <c r="V125" s="18">
        <v>8</v>
      </c>
      <c r="W125" s="18">
        <f t="shared" si="2"/>
        <v>68</v>
      </c>
      <c r="X125" s="16">
        <v>3019</v>
      </c>
      <c r="Y125" s="12">
        <v>52</v>
      </c>
      <c r="Z125" s="12">
        <v>0</v>
      </c>
      <c r="AA125" s="13">
        <v>4</v>
      </c>
      <c r="AB125" s="14" t="e">
        <v>#N/A</v>
      </c>
      <c r="AC125" s="14" t="e">
        <v>#N/A</v>
      </c>
      <c r="AD125" s="15"/>
      <c r="AE125" s="18"/>
      <c r="AF125" s="19"/>
      <c r="AG125" s="18"/>
      <c r="AH125" s="18"/>
      <c r="AI125" s="18"/>
      <c r="AJ125" s="18"/>
      <c r="AK125" s="18">
        <v>11</v>
      </c>
      <c r="AL125" s="18">
        <v>52</v>
      </c>
      <c r="AM125" s="18"/>
      <c r="AN125" s="18"/>
      <c r="AO125" s="18"/>
      <c r="AP125" s="18"/>
      <c r="AQ125" s="18"/>
      <c r="AR125" s="18">
        <v>5</v>
      </c>
      <c r="AS125" s="18"/>
      <c r="AT125" s="18"/>
      <c r="AU125" s="18"/>
      <c r="AV125" s="18"/>
      <c r="AW125" s="18"/>
      <c r="AX125" s="18"/>
      <c r="AY125" s="18"/>
      <c r="AZ125" s="18"/>
      <c r="BA125" s="18"/>
      <c r="BB125" s="18">
        <f t="shared" si="3"/>
        <v>68</v>
      </c>
    </row>
    <row r="126" spans="1:54" x14ac:dyDescent="0.3">
      <c r="A126" s="17" t="s">
        <v>217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9"/>
      <c r="M126" s="18">
        <v>1</v>
      </c>
      <c r="N126" s="18">
        <v>2</v>
      </c>
      <c r="O126" s="18">
        <v>2</v>
      </c>
      <c r="P126" s="18">
        <v>2</v>
      </c>
      <c r="Q126" s="18">
        <v>2</v>
      </c>
      <c r="R126" s="18">
        <v>2</v>
      </c>
      <c r="S126" s="18">
        <v>2</v>
      </c>
      <c r="T126" s="18">
        <v>2</v>
      </c>
      <c r="U126" s="18">
        <v>2</v>
      </c>
      <c r="V126" s="18">
        <v>2</v>
      </c>
      <c r="W126" s="18">
        <f t="shared" si="2"/>
        <v>19</v>
      </c>
      <c r="X126" s="16">
        <v>3019</v>
      </c>
      <c r="Y126" s="12">
        <v>13</v>
      </c>
      <c r="Z126" s="12">
        <v>0</v>
      </c>
      <c r="AA126" s="13">
        <v>2</v>
      </c>
      <c r="AB126" s="14" t="e">
        <v>#N/A</v>
      </c>
      <c r="AC126" s="14" t="e">
        <v>#N/A</v>
      </c>
      <c r="AD126" s="15"/>
      <c r="AE126" s="18"/>
      <c r="AF126" s="19"/>
      <c r="AG126" s="18"/>
      <c r="AH126" s="18"/>
      <c r="AI126" s="18"/>
      <c r="AJ126" s="18">
        <v>12</v>
      </c>
      <c r="AK126" s="18"/>
      <c r="AL126" s="18"/>
      <c r="AM126" s="18"/>
      <c r="AN126" s="18"/>
      <c r="AO126" s="18"/>
      <c r="AP126" s="18">
        <v>7</v>
      </c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>
        <f t="shared" si="3"/>
        <v>19</v>
      </c>
    </row>
    <row r="127" spans="1:54" x14ac:dyDescent="0.3">
      <c r="A127" s="17" t="s">
        <v>218</v>
      </c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9"/>
      <c r="M127" s="18">
        <v>1</v>
      </c>
      <c r="N127" s="18">
        <v>2</v>
      </c>
      <c r="O127" s="18">
        <v>2</v>
      </c>
      <c r="P127" s="18">
        <v>2</v>
      </c>
      <c r="Q127" s="18">
        <v>2</v>
      </c>
      <c r="R127" s="18">
        <v>2</v>
      </c>
      <c r="S127" s="18">
        <v>2</v>
      </c>
      <c r="T127" s="18">
        <v>2</v>
      </c>
      <c r="U127" s="18">
        <v>2</v>
      </c>
      <c r="V127" s="18">
        <v>2</v>
      </c>
      <c r="W127" s="18">
        <f t="shared" si="2"/>
        <v>19</v>
      </c>
      <c r="X127" s="16">
        <v>3019</v>
      </c>
      <c r="Y127" s="12">
        <v>13</v>
      </c>
      <c r="Z127" s="12">
        <v>0</v>
      </c>
      <c r="AA127" s="13">
        <v>1</v>
      </c>
      <c r="AB127" s="14" t="e">
        <v>#N/A</v>
      </c>
      <c r="AC127" s="14" t="e">
        <v>#N/A</v>
      </c>
      <c r="AD127" s="15"/>
      <c r="AE127" s="18"/>
      <c r="AF127" s="19"/>
      <c r="AG127" s="18"/>
      <c r="AH127" s="18"/>
      <c r="AI127" s="18"/>
      <c r="AJ127" s="18">
        <v>3</v>
      </c>
      <c r="AK127" s="18">
        <v>12</v>
      </c>
      <c r="AL127" s="18"/>
      <c r="AM127" s="18"/>
      <c r="AN127" s="18"/>
      <c r="AO127" s="18"/>
      <c r="AP127" s="18"/>
      <c r="AQ127" s="18">
        <v>4</v>
      </c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>
        <f t="shared" si="3"/>
        <v>19</v>
      </c>
    </row>
    <row r="128" spans="1:54" x14ac:dyDescent="0.3">
      <c r="A128" s="17" t="s">
        <v>219</v>
      </c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9"/>
      <c r="M128" s="18"/>
      <c r="N128" s="18"/>
      <c r="O128" s="18"/>
      <c r="P128" s="18"/>
      <c r="Q128" s="18">
        <v>2</v>
      </c>
      <c r="R128" s="18">
        <v>2</v>
      </c>
      <c r="S128" s="18">
        <v>3</v>
      </c>
      <c r="T128" s="18">
        <v>1</v>
      </c>
      <c r="U128" s="18">
        <v>2</v>
      </c>
      <c r="V128" s="18">
        <v>2</v>
      </c>
      <c r="W128" s="18">
        <f t="shared" si="2"/>
        <v>12</v>
      </c>
      <c r="X128" s="16">
        <v>3019</v>
      </c>
      <c r="Y128" s="12">
        <v>13</v>
      </c>
      <c r="Z128" s="12">
        <v>0</v>
      </c>
      <c r="AA128" s="13">
        <v>1</v>
      </c>
      <c r="AB128" s="14" t="e">
        <v>#N/A</v>
      </c>
      <c r="AC128" s="14" t="e">
        <v>#N/A</v>
      </c>
      <c r="AD128" s="15"/>
      <c r="AE128" s="18"/>
      <c r="AF128" s="19"/>
      <c r="AG128" s="18"/>
      <c r="AH128" s="18"/>
      <c r="AI128" s="18"/>
      <c r="AJ128" s="18"/>
      <c r="AK128" s="18"/>
      <c r="AL128" s="18"/>
      <c r="AM128" s="18">
        <v>4</v>
      </c>
      <c r="AN128" s="18"/>
      <c r="AO128" s="18">
        <v>4</v>
      </c>
      <c r="AP128" s="18"/>
      <c r="AQ128" s="18">
        <v>4</v>
      </c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>
        <f t="shared" si="3"/>
        <v>12</v>
      </c>
    </row>
    <row r="129" spans="1:54" x14ac:dyDescent="0.3">
      <c r="A129" s="17" t="s">
        <v>220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9"/>
      <c r="M129" s="18">
        <v>1</v>
      </c>
      <c r="N129" s="18">
        <v>4</v>
      </c>
      <c r="O129" s="18">
        <v>4</v>
      </c>
      <c r="P129" s="18">
        <v>4</v>
      </c>
      <c r="Q129" s="18">
        <v>4</v>
      </c>
      <c r="R129" s="18">
        <v>4</v>
      </c>
      <c r="S129" s="18">
        <v>4</v>
      </c>
      <c r="T129" s="18">
        <v>4</v>
      </c>
      <c r="U129" s="18">
        <v>4</v>
      </c>
      <c r="V129" s="18">
        <v>4</v>
      </c>
      <c r="W129" s="18">
        <f t="shared" si="2"/>
        <v>37</v>
      </c>
      <c r="X129" s="16">
        <v>3019</v>
      </c>
      <c r="Y129" s="12">
        <v>27</v>
      </c>
      <c r="Z129" s="12">
        <v>0</v>
      </c>
      <c r="AA129" s="13">
        <v>2</v>
      </c>
      <c r="AB129" s="14" t="e">
        <v>#N/A</v>
      </c>
      <c r="AC129" s="14" t="e">
        <v>#N/A</v>
      </c>
      <c r="AD129" s="15"/>
      <c r="AE129" s="18"/>
      <c r="AF129" s="19"/>
      <c r="AG129" s="18"/>
      <c r="AH129" s="18"/>
      <c r="AI129" s="18"/>
      <c r="AJ129" s="18">
        <v>8</v>
      </c>
      <c r="AK129" s="18"/>
      <c r="AL129" s="18">
        <v>8</v>
      </c>
      <c r="AM129" s="18"/>
      <c r="AN129" s="18">
        <v>8</v>
      </c>
      <c r="AO129" s="18"/>
      <c r="AP129" s="18">
        <v>8</v>
      </c>
      <c r="AQ129" s="18"/>
      <c r="AR129" s="18">
        <v>5</v>
      </c>
      <c r="AS129" s="18"/>
      <c r="AT129" s="18"/>
      <c r="AU129" s="18"/>
      <c r="AV129" s="18"/>
      <c r="AW129" s="18"/>
      <c r="AX129" s="18"/>
      <c r="AY129" s="18"/>
      <c r="AZ129" s="18"/>
      <c r="BA129" s="18"/>
      <c r="BB129" s="18">
        <f t="shared" si="3"/>
        <v>37</v>
      </c>
    </row>
    <row r="130" spans="1:54" x14ac:dyDescent="0.3">
      <c r="A130" s="17" t="s">
        <v>221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9"/>
      <c r="M130" s="18"/>
      <c r="N130" s="18">
        <v>1</v>
      </c>
      <c r="O130" s="18">
        <v>2</v>
      </c>
      <c r="P130" s="18">
        <v>2</v>
      </c>
      <c r="Q130" s="18">
        <v>2</v>
      </c>
      <c r="R130" s="18">
        <v>2</v>
      </c>
      <c r="S130" s="18">
        <v>3</v>
      </c>
      <c r="T130" s="18">
        <v>1</v>
      </c>
      <c r="U130" s="18">
        <v>2</v>
      </c>
      <c r="V130" s="18">
        <v>2</v>
      </c>
      <c r="W130" s="18">
        <f t="shared" si="2"/>
        <v>17</v>
      </c>
      <c r="X130" s="16">
        <v>3019</v>
      </c>
      <c r="Y130" s="12">
        <v>13</v>
      </c>
      <c r="Z130" s="12">
        <v>0</v>
      </c>
      <c r="AA130" s="13">
        <v>1</v>
      </c>
      <c r="AB130" s="14" t="e">
        <v>#N/A</v>
      </c>
      <c r="AC130" s="14" t="e">
        <v>#N/A</v>
      </c>
      <c r="AD130" s="15"/>
      <c r="AE130" s="18"/>
      <c r="AF130" s="19"/>
      <c r="AG130" s="18"/>
      <c r="AH130" s="18"/>
      <c r="AI130" s="18"/>
      <c r="AJ130" s="18"/>
      <c r="AK130" s="18">
        <v>4</v>
      </c>
      <c r="AL130" s="18"/>
      <c r="AM130" s="18">
        <v>4</v>
      </c>
      <c r="AN130" s="18"/>
      <c r="AO130" s="18">
        <v>4</v>
      </c>
      <c r="AP130" s="18"/>
      <c r="AQ130" s="18">
        <v>4</v>
      </c>
      <c r="AR130" s="18"/>
      <c r="AS130" s="18">
        <v>1</v>
      </c>
      <c r="AT130" s="18"/>
      <c r="AU130" s="18"/>
      <c r="AV130" s="18"/>
      <c r="AW130" s="18"/>
      <c r="AX130" s="18"/>
      <c r="AY130" s="18"/>
      <c r="AZ130" s="18"/>
      <c r="BA130" s="18"/>
      <c r="BB130" s="18">
        <f t="shared" si="3"/>
        <v>17</v>
      </c>
    </row>
    <row r="131" spans="1:54" x14ac:dyDescent="0.3">
      <c r="A131" s="17" t="s">
        <v>223</v>
      </c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9"/>
      <c r="M131" s="18">
        <v>2</v>
      </c>
      <c r="N131" s="18">
        <v>2</v>
      </c>
      <c r="O131" s="18">
        <v>2</v>
      </c>
      <c r="P131" s="18">
        <v>2</v>
      </c>
      <c r="Q131" s="18">
        <v>2</v>
      </c>
      <c r="R131" s="18">
        <v>2</v>
      </c>
      <c r="S131" s="18">
        <v>2</v>
      </c>
      <c r="T131" s="18">
        <v>2</v>
      </c>
      <c r="U131" s="18">
        <v>2</v>
      </c>
      <c r="V131" s="18">
        <v>2</v>
      </c>
      <c r="W131" s="18">
        <f t="shared" ref="W131:W194" si="4">SUM(B131:V131)</f>
        <v>20</v>
      </c>
      <c r="X131" s="16">
        <v>3019</v>
      </c>
      <c r="Y131" s="12">
        <v>13</v>
      </c>
      <c r="Z131" s="12">
        <v>0</v>
      </c>
      <c r="AA131" s="13">
        <v>1</v>
      </c>
      <c r="AB131" s="14" t="e">
        <v>#N/A</v>
      </c>
      <c r="AC131" s="14" t="e">
        <v>#N/A</v>
      </c>
      <c r="AD131" s="15"/>
      <c r="AE131" s="18"/>
      <c r="AF131" s="19"/>
      <c r="AG131" s="18"/>
      <c r="AH131" s="18"/>
      <c r="AI131" s="18">
        <v>4</v>
      </c>
      <c r="AJ131" s="18"/>
      <c r="AK131" s="18">
        <v>4</v>
      </c>
      <c r="AL131" s="18"/>
      <c r="AM131" s="18">
        <v>4</v>
      </c>
      <c r="AN131" s="18"/>
      <c r="AO131" s="18">
        <v>4</v>
      </c>
      <c r="AP131" s="18"/>
      <c r="AQ131" s="18">
        <v>4</v>
      </c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>
        <f t="shared" ref="BB131:BB194" si="5">SUM(AE131:BA131)</f>
        <v>20</v>
      </c>
    </row>
    <row r="132" spans="1:54" x14ac:dyDescent="0.3">
      <c r="A132" s="17" t="s">
        <v>224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9"/>
      <c r="M132" s="18">
        <v>2</v>
      </c>
      <c r="N132" s="18">
        <v>2</v>
      </c>
      <c r="O132" s="18">
        <v>2</v>
      </c>
      <c r="P132" s="18">
        <v>2</v>
      </c>
      <c r="Q132" s="18">
        <v>2</v>
      </c>
      <c r="R132" s="18">
        <v>2</v>
      </c>
      <c r="S132" s="18">
        <v>2</v>
      </c>
      <c r="T132" s="18">
        <v>2</v>
      </c>
      <c r="U132" s="18">
        <v>2</v>
      </c>
      <c r="V132" s="18">
        <v>2</v>
      </c>
      <c r="W132" s="18">
        <f t="shared" si="4"/>
        <v>20</v>
      </c>
      <c r="X132" s="16">
        <v>3019</v>
      </c>
      <c r="Y132" s="12">
        <v>13</v>
      </c>
      <c r="Z132" s="12">
        <v>0</v>
      </c>
      <c r="AA132" s="13">
        <v>1</v>
      </c>
      <c r="AB132" s="14" t="e">
        <v>#N/A</v>
      </c>
      <c r="AC132" s="14" t="e">
        <v>#N/A</v>
      </c>
      <c r="AD132" s="15"/>
      <c r="AE132" s="18"/>
      <c r="AF132" s="19"/>
      <c r="AG132" s="18"/>
      <c r="AH132" s="18"/>
      <c r="AI132" s="18">
        <v>4</v>
      </c>
      <c r="AJ132" s="18"/>
      <c r="AK132" s="18">
        <v>4</v>
      </c>
      <c r="AL132" s="18"/>
      <c r="AM132" s="18">
        <v>4</v>
      </c>
      <c r="AN132" s="18"/>
      <c r="AO132" s="18">
        <v>4</v>
      </c>
      <c r="AP132" s="18"/>
      <c r="AQ132" s="18">
        <v>4</v>
      </c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>
        <f t="shared" si="5"/>
        <v>20</v>
      </c>
    </row>
    <row r="133" spans="1:54" x14ac:dyDescent="0.3">
      <c r="A133" s="17" t="s">
        <v>225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9"/>
      <c r="M133" s="18"/>
      <c r="N133" s="18">
        <v>2</v>
      </c>
      <c r="O133" s="18">
        <v>2</v>
      </c>
      <c r="P133" s="18">
        <v>2</v>
      </c>
      <c r="Q133" s="18">
        <v>2</v>
      </c>
      <c r="R133" s="18">
        <v>2</v>
      </c>
      <c r="S133" s="18">
        <v>2</v>
      </c>
      <c r="T133" s="18">
        <v>2</v>
      </c>
      <c r="U133" s="18">
        <v>2</v>
      </c>
      <c r="V133" s="18">
        <v>2</v>
      </c>
      <c r="W133" s="18">
        <f t="shared" si="4"/>
        <v>18</v>
      </c>
      <c r="X133" s="16">
        <v>3019</v>
      </c>
      <c r="Y133" s="12">
        <v>13</v>
      </c>
      <c r="Z133" s="12">
        <v>0</v>
      </c>
      <c r="AA133" s="13">
        <v>1</v>
      </c>
      <c r="AB133" s="14" t="e">
        <v>#N/A</v>
      </c>
      <c r="AC133" s="14" t="e">
        <v>#N/A</v>
      </c>
      <c r="AD133" s="15"/>
      <c r="AE133" s="18"/>
      <c r="AF133" s="19"/>
      <c r="AG133" s="18"/>
      <c r="AH133" s="18">
        <v>1</v>
      </c>
      <c r="AI133" s="18"/>
      <c r="AJ133" s="18"/>
      <c r="AK133" s="18">
        <v>3</v>
      </c>
      <c r="AL133" s="18">
        <v>12</v>
      </c>
      <c r="AM133" s="18"/>
      <c r="AN133" s="18"/>
      <c r="AO133" s="18"/>
      <c r="AP133" s="18"/>
      <c r="AQ133" s="18"/>
      <c r="AR133" s="18"/>
      <c r="AS133" s="18">
        <v>2</v>
      </c>
      <c r="AT133" s="18"/>
      <c r="AU133" s="18"/>
      <c r="AV133" s="18"/>
      <c r="AW133" s="18"/>
      <c r="AX133" s="18"/>
      <c r="AY133" s="18"/>
      <c r="AZ133" s="18"/>
      <c r="BA133" s="18"/>
      <c r="BB133" s="18">
        <f t="shared" si="5"/>
        <v>18</v>
      </c>
    </row>
    <row r="134" spans="1:54" x14ac:dyDescent="0.3">
      <c r="A134" s="17" t="s">
        <v>226</v>
      </c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9"/>
      <c r="M134" s="18"/>
      <c r="N134" s="18"/>
      <c r="O134" s="18"/>
      <c r="P134" s="18">
        <v>1</v>
      </c>
      <c r="Q134" s="18">
        <v>2</v>
      </c>
      <c r="R134" s="18">
        <v>2</v>
      </c>
      <c r="S134" s="18">
        <v>2</v>
      </c>
      <c r="T134" s="18">
        <v>2</v>
      </c>
      <c r="U134" s="18">
        <v>2</v>
      </c>
      <c r="V134" s="18">
        <v>2</v>
      </c>
      <c r="W134" s="18">
        <f t="shared" si="4"/>
        <v>13</v>
      </c>
      <c r="X134" s="16">
        <v>3019</v>
      </c>
      <c r="Y134" s="12">
        <v>13</v>
      </c>
      <c r="Z134" s="12">
        <v>0</v>
      </c>
      <c r="AA134" s="13">
        <v>1</v>
      </c>
      <c r="AB134" s="14" t="e">
        <v>#N/A</v>
      </c>
      <c r="AC134" s="14" t="e">
        <v>#N/A</v>
      </c>
      <c r="AD134" s="15"/>
      <c r="AE134" s="18"/>
      <c r="AF134" s="19"/>
      <c r="AG134" s="18"/>
      <c r="AH134" s="18"/>
      <c r="AI134" s="18"/>
      <c r="AJ134" s="18"/>
      <c r="AK134" s="18"/>
      <c r="AL134" s="18"/>
      <c r="AM134" s="18">
        <v>4</v>
      </c>
      <c r="AN134" s="18"/>
      <c r="AO134" s="18">
        <v>4</v>
      </c>
      <c r="AP134" s="18"/>
      <c r="AQ134" s="18">
        <v>4</v>
      </c>
      <c r="AR134" s="18"/>
      <c r="AS134" s="18">
        <v>1</v>
      </c>
      <c r="AT134" s="18"/>
      <c r="AU134" s="18"/>
      <c r="AV134" s="18"/>
      <c r="AW134" s="18"/>
      <c r="AX134" s="18"/>
      <c r="AY134" s="18"/>
      <c r="AZ134" s="18"/>
      <c r="BA134" s="18"/>
      <c r="BB134" s="18">
        <f t="shared" si="5"/>
        <v>13</v>
      </c>
    </row>
    <row r="135" spans="1:54" x14ac:dyDescent="0.3">
      <c r="A135" s="17" t="s">
        <v>227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9"/>
      <c r="M135" s="18"/>
      <c r="N135" s="18">
        <v>2</v>
      </c>
      <c r="O135" s="18">
        <v>2</v>
      </c>
      <c r="P135" s="18">
        <v>2</v>
      </c>
      <c r="Q135" s="18">
        <v>2</v>
      </c>
      <c r="R135" s="18">
        <v>2</v>
      </c>
      <c r="S135" s="18">
        <v>2</v>
      </c>
      <c r="T135" s="18">
        <v>2</v>
      </c>
      <c r="U135" s="18">
        <v>2</v>
      </c>
      <c r="V135" s="18">
        <v>2</v>
      </c>
      <c r="W135" s="18">
        <f t="shared" si="4"/>
        <v>18</v>
      </c>
      <c r="X135" s="16">
        <v>3019</v>
      </c>
      <c r="Y135" s="12">
        <v>13</v>
      </c>
      <c r="Z135" s="12">
        <v>0</v>
      </c>
      <c r="AA135" s="13">
        <v>1</v>
      </c>
      <c r="AB135" s="14" t="e">
        <v>#N/A</v>
      </c>
      <c r="AC135" s="14" t="e">
        <v>#N/A</v>
      </c>
      <c r="AD135" s="15"/>
      <c r="AE135" s="18"/>
      <c r="AF135" s="19"/>
      <c r="AG135" s="18">
        <v>16</v>
      </c>
      <c r="AH135" s="18"/>
      <c r="AI135" s="18"/>
      <c r="AJ135" s="18"/>
      <c r="AK135" s="18"/>
      <c r="AL135" s="18"/>
      <c r="AM135" s="18"/>
      <c r="AN135" s="18">
        <v>2</v>
      </c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>
        <f t="shared" si="5"/>
        <v>18</v>
      </c>
    </row>
    <row r="136" spans="1:54" x14ac:dyDescent="0.3">
      <c r="A136" s="17" t="s">
        <v>228</v>
      </c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9"/>
      <c r="M136" s="18"/>
      <c r="N136" s="18"/>
      <c r="O136" s="18"/>
      <c r="P136" s="18"/>
      <c r="Q136" s="18">
        <v>4</v>
      </c>
      <c r="R136" s="18">
        <v>4</v>
      </c>
      <c r="S136" s="18">
        <v>6</v>
      </c>
      <c r="T136" s="18">
        <v>2</v>
      </c>
      <c r="U136" s="18">
        <v>4</v>
      </c>
      <c r="V136" s="18">
        <v>4</v>
      </c>
      <c r="W136" s="18">
        <f t="shared" si="4"/>
        <v>24</v>
      </c>
      <c r="X136" s="16">
        <v>3019</v>
      </c>
      <c r="Y136" s="12">
        <v>26</v>
      </c>
      <c r="Z136" s="12">
        <v>0</v>
      </c>
      <c r="AA136" s="13">
        <v>2</v>
      </c>
      <c r="AB136" s="14" t="e">
        <v>#N/A</v>
      </c>
      <c r="AC136" s="14" t="e">
        <v>#N/A</v>
      </c>
      <c r="AD136" s="15"/>
      <c r="AE136" s="18"/>
      <c r="AF136" s="19"/>
      <c r="AG136" s="18"/>
      <c r="AH136" s="18"/>
      <c r="AI136" s="18"/>
      <c r="AJ136" s="18"/>
      <c r="AK136" s="18"/>
      <c r="AL136" s="18"/>
      <c r="AM136" s="18">
        <v>12</v>
      </c>
      <c r="AN136" s="18"/>
      <c r="AO136" s="18"/>
      <c r="AP136" s="18">
        <v>12</v>
      </c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>
        <f t="shared" si="5"/>
        <v>24</v>
      </c>
    </row>
    <row r="137" spans="1:54" x14ac:dyDescent="0.3">
      <c r="A137" s="17" t="s">
        <v>229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9"/>
      <c r="M137" s="18"/>
      <c r="N137" s="18">
        <v>1</v>
      </c>
      <c r="O137" s="18">
        <v>2</v>
      </c>
      <c r="P137" s="18">
        <v>2</v>
      </c>
      <c r="Q137" s="18"/>
      <c r="R137" s="18"/>
      <c r="S137" s="18"/>
      <c r="T137" s="18">
        <v>1</v>
      </c>
      <c r="U137" s="18">
        <v>2</v>
      </c>
      <c r="V137" s="18">
        <v>2</v>
      </c>
      <c r="W137" s="18">
        <f t="shared" si="4"/>
        <v>10</v>
      </c>
      <c r="X137" s="16">
        <v>3019</v>
      </c>
      <c r="Y137" s="12">
        <v>13</v>
      </c>
      <c r="Z137" s="12">
        <v>0</v>
      </c>
      <c r="AA137" s="13">
        <v>1</v>
      </c>
      <c r="AB137" s="14" t="e">
        <v>#N/A</v>
      </c>
      <c r="AC137" s="14" t="e">
        <v>#N/A</v>
      </c>
      <c r="AD137" s="15"/>
      <c r="AE137" s="18"/>
      <c r="AF137" s="19"/>
      <c r="AG137" s="18"/>
      <c r="AH137" s="18"/>
      <c r="AI137" s="18"/>
      <c r="AJ137" s="18"/>
      <c r="AK137" s="18">
        <v>5</v>
      </c>
      <c r="AL137" s="18"/>
      <c r="AM137" s="18">
        <v>5</v>
      </c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>
        <f t="shared" si="5"/>
        <v>10</v>
      </c>
    </row>
    <row r="138" spans="1:54" x14ac:dyDescent="0.3">
      <c r="A138" s="17" t="s">
        <v>231</v>
      </c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9"/>
      <c r="M138" s="18"/>
      <c r="N138" s="18"/>
      <c r="O138" s="18"/>
      <c r="P138" s="18"/>
      <c r="Q138" s="18"/>
      <c r="R138" s="18"/>
      <c r="S138" s="18">
        <v>3</v>
      </c>
      <c r="T138" s="18">
        <v>1</v>
      </c>
      <c r="U138" s="18">
        <v>2</v>
      </c>
      <c r="V138" s="18">
        <v>2</v>
      </c>
      <c r="W138" s="18">
        <f t="shared" si="4"/>
        <v>8</v>
      </c>
      <c r="X138" s="16">
        <v>3019</v>
      </c>
      <c r="Y138" s="12">
        <v>16</v>
      </c>
      <c r="Z138" s="12">
        <v>0</v>
      </c>
      <c r="AA138" s="13">
        <v>1</v>
      </c>
      <c r="AB138" s="14" t="e">
        <v>#N/A</v>
      </c>
      <c r="AC138" s="14" t="e">
        <v>#N/A</v>
      </c>
      <c r="AD138" s="15"/>
      <c r="AE138" s="18"/>
      <c r="AF138" s="19"/>
      <c r="AG138" s="18"/>
      <c r="AH138" s="18"/>
      <c r="AI138" s="18"/>
      <c r="AJ138" s="18"/>
      <c r="AK138" s="18"/>
      <c r="AL138" s="18"/>
      <c r="AM138" s="18"/>
      <c r="AN138" s="18"/>
      <c r="AO138" s="18">
        <v>8</v>
      </c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>
        <f t="shared" si="5"/>
        <v>8</v>
      </c>
    </row>
    <row r="139" spans="1:54" x14ac:dyDescent="0.3">
      <c r="A139" s="17" t="s">
        <v>222</v>
      </c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9"/>
      <c r="M139" s="18"/>
      <c r="N139" s="18">
        <v>2</v>
      </c>
      <c r="O139" s="18">
        <v>9</v>
      </c>
      <c r="P139" s="18">
        <v>6</v>
      </c>
      <c r="Q139" s="18">
        <v>6</v>
      </c>
      <c r="R139" s="18">
        <v>6</v>
      </c>
      <c r="S139" s="18">
        <v>6</v>
      </c>
      <c r="T139" s="18">
        <v>3</v>
      </c>
      <c r="U139" s="18">
        <v>6</v>
      </c>
      <c r="V139" s="18">
        <v>9</v>
      </c>
      <c r="W139" s="18">
        <f t="shared" si="4"/>
        <v>53</v>
      </c>
      <c r="X139" s="16">
        <v>3020</v>
      </c>
      <c r="Y139" s="12">
        <v>41</v>
      </c>
      <c r="Z139" s="12">
        <v>0</v>
      </c>
      <c r="AA139" s="13">
        <v>3</v>
      </c>
      <c r="AB139" s="14" t="e">
        <v>#N/A</v>
      </c>
      <c r="AC139" s="14" t="e">
        <v>#N/A</v>
      </c>
      <c r="AD139" s="15"/>
      <c r="AE139" s="18"/>
      <c r="AF139" s="19"/>
      <c r="AG139" s="18"/>
      <c r="AH139" s="18"/>
      <c r="AI139" s="18"/>
      <c r="AJ139" s="18">
        <v>12</v>
      </c>
      <c r="AK139" s="18"/>
      <c r="AL139" s="18">
        <v>12</v>
      </c>
      <c r="AM139" s="18"/>
      <c r="AN139" s="18"/>
      <c r="AO139" s="18">
        <v>12</v>
      </c>
      <c r="AP139" s="18">
        <v>12</v>
      </c>
      <c r="AQ139" s="18"/>
      <c r="AR139" s="18"/>
      <c r="AS139" s="18">
        <v>5</v>
      </c>
      <c r="AT139" s="18"/>
      <c r="AU139" s="18"/>
      <c r="AV139" s="18"/>
      <c r="AW139" s="18"/>
      <c r="AX139" s="18"/>
      <c r="AY139" s="18"/>
      <c r="AZ139" s="18"/>
      <c r="BA139" s="18"/>
      <c r="BB139" s="18">
        <f t="shared" si="5"/>
        <v>53</v>
      </c>
    </row>
    <row r="140" spans="1:54" x14ac:dyDescent="0.3">
      <c r="A140" s="17" t="s">
        <v>232</v>
      </c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9"/>
      <c r="M140" s="18"/>
      <c r="N140" s="18"/>
      <c r="O140" s="18">
        <v>1</v>
      </c>
      <c r="P140" s="18">
        <v>2</v>
      </c>
      <c r="Q140" s="18">
        <v>2</v>
      </c>
      <c r="R140" s="18">
        <v>2</v>
      </c>
      <c r="S140" s="18">
        <v>3</v>
      </c>
      <c r="T140" s="18">
        <v>1</v>
      </c>
      <c r="U140" s="18">
        <v>2</v>
      </c>
      <c r="V140" s="18">
        <v>2</v>
      </c>
      <c r="W140" s="18">
        <f t="shared" si="4"/>
        <v>15</v>
      </c>
      <c r="X140" s="16">
        <v>3020</v>
      </c>
      <c r="Y140" s="12">
        <v>14</v>
      </c>
      <c r="Z140" s="12">
        <v>0</v>
      </c>
      <c r="AA140" s="13">
        <v>1</v>
      </c>
      <c r="AB140" s="14" t="e">
        <v>#N/A</v>
      </c>
      <c r="AC140" s="14" t="e">
        <v>#N/A</v>
      </c>
      <c r="AD140" s="15"/>
      <c r="AE140" s="18"/>
      <c r="AF140" s="19"/>
      <c r="AG140" s="18"/>
      <c r="AH140" s="18"/>
      <c r="AI140" s="18"/>
      <c r="AJ140" s="18"/>
      <c r="AK140" s="18"/>
      <c r="AL140" s="18">
        <v>11</v>
      </c>
      <c r="AM140" s="18"/>
      <c r="AN140" s="18"/>
      <c r="AO140" s="18"/>
      <c r="AP140" s="18"/>
      <c r="AQ140" s="18">
        <v>4</v>
      </c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>
        <f t="shared" si="5"/>
        <v>15</v>
      </c>
    </row>
    <row r="141" spans="1:54" x14ac:dyDescent="0.3">
      <c r="A141" s="17" t="s">
        <v>234</v>
      </c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9"/>
      <c r="M141" s="18"/>
      <c r="N141" s="18"/>
      <c r="O141" s="18"/>
      <c r="P141" s="18"/>
      <c r="Q141" s="18"/>
      <c r="R141" s="18">
        <v>2</v>
      </c>
      <c r="S141" s="18">
        <v>3</v>
      </c>
      <c r="T141" s="18">
        <v>1</v>
      </c>
      <c r="U141" s="18">
        <v>2</v>
      </c>
      <c r="V141" s="18">
        <v>2</v>
      </c>
      <c r="W141" s="18">
        <f t="shared" si="4"/>
        <v>10</v>
      </c>
      <c r="X141" s="16">
        <v>3020</v>
      </c>
      <c r="Y141" s="12">
        <v>15</v>
      </c>
      <c r="Z141" s="12">
        <v>0</v>
      </c>
      <c r="AA141" s="13">
        <v>1</v>
      </c>
      <c r="AB141" s="14" t="e">
        <v>#N/A</v>
      </c>
      <c r="AC141" s="14" t="e">
        <v>#N/A</v>
      </c>
      <c r="AD141" s="15"/>
      <c r="AE141" s="18"/>
      <c r="AF141" s="19"/>
      <c r="AG141" s="18"/>
      <c r="AH141" s="18"/>
      <c r="AI141" s="18"/>
      <c r="AJ141" s="18"/>
      <c r="AK141" s="18"/>
      <c r="AL141" s="18">
        <v>4</v>
      </c>
      <c r="AM141" s="18">
        <v>4</v>
      </c>
      <c r="AN141" s="18"/>
      <c r="AO141" s="18"/>
      <c r="AP141" s="18">
        <v>2</v>
      </c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>
        <f t="shared" si="5"/>
        <v>10</v>
      </c>
    </row>
    <row r="142" spans="1:54" x14ac:dyDescent="0.3">
      <c r="A142" s="17" t="s">
        <v>238</v>
      </c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9"/>
      <c r="M142" s="18"/>
      <c r="N142" s="18">
        <v>1</v>
      </c>
      <c r="O142" s="18">
        <v>4</v>
      </c>
      <c r="P142" s="18">
        <v>4</v>
      </c>
      <c r="Q142" s="18">
        <v>4</v>
      </c>
      <c r="R142" s="18">
        <v>4</v>
      </c>
      <c r="S142" s="18">
        <v>4</v>
      </c>
      <c r="T142" s="18">
        <v>4</v>
      </c>
      <c r="U142" s="18">
        <v>4</v>
      </c>
      <c r="V142" s="18">
        <v>4</v>
      </c>
      <c r="W142" s="18">
        <f t="shared" si="4"/>
        <v>33</v>
      </c>
      <c r="X142" s="16">
        <v>3020</v>
      </c>
      <c r="Y142" s="12">
        <v>29</v>
      </c>
      <c r="Z142" s="12">
        <v>0</v>
      </c>
      <c r="AA142" s="13">
        <v>2</v>
      </c>
      <c r="AB142" s="14" t="e">
        <v>#N/A</v>
      </c>
      <c r="AC142" s="14" t="e">
        <v>#N/A</v>
      </c>
      <c r="AD142" s="15"/>
      <c r="AE142" s="18"/>
      <c r="AF142" s="19"/>
      <c r="AG142" s="18">
        <v>7</v>
      </c>
      <c r="AH142" s="18"/>
      <c r="AI142" s="18"/>
      <c r="AJ142" s="18"/>
      <c r="AK142" s="18"/>
      <c r="AL142" s="18"/>
      <c r="AM142" s="18">
        <v>24</v>
      </c>
      <c r="AN142" s="18"/>
      <c r="AO142" s="18"/>
      <c r="AP142" s="18"/>
      <c r="AQ142" s="18"/>
      <c r="AR142" s="18"/>
      <c r="AS142" s="18">
        <v>2</v>
      </c>
      <c r="AT142" s="18"/>
      <c r="AU142" s="18"/>
      <c r="AV142" s="18"/>
      <c r="AW142" s="18"/>
      <c r="AX142" s="18"/>
      <c r="AY142" s="18"/>
      <c r="AZ142" s="18"/>
      <c r="BA142" s="18"/>
      <c r="BB142" s="18">
        <f t="shared" si="5"/>
        <v>33</v>
      </c>
    </row>
    <row r="143" spans="1:54" x14ac:dyDescent="0.3">
      <c r="A143" s="17" t="s">
        <v>240</v>
      </c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9"/>
      <c r="M143" s="18"/>
      <c r="N143" s="18"/>
      <c r="O143" s="18"/>
      <c r="P143" s="18">
        <v>3</v>
      </c>
      <c r="Q143" s="18">
        <v>2</v>
      </c>
      <c r="R143" s="18">
        <v>2</v>
      </c>
      <c r="S143" s="18">
        <v>2</v>
      </c>
      <c r="T143" s="18">
        <v>1</v>
      </c>
      <c r="U143" s="18">
        <v>2</v>
      </c>
      <c r="V143" s="18">
        <v>2</v>
      </c>
      <c r="W143" s="18">
        <f t="shared" si="4"/>
        <v>14</v>
      </c>
      <c r="X143" s="16">
        <v>3020</v>
      </c>
      <c r="Y143" s="12">
        <v>16</v>
      </c>
      <c r="Z143" s="12">
        <v>0</v>
      </c>
      <c r="AA143" s="13">
        <v>1</v>
      </c>
      <c r="AB143" s="14" t="e">
        <v>#N/A</v>
      </c>
      <c r="AC143" s="14" t="e">
        <v>#N/A</v>
      </c>
      <c r="AD143" s="15"/>
      <c r="AE143" s="18"/>
      <c r="AF143" s="19"/>
      <c r="AG143" s="18"/>
      <c r="AH143" s="18"/>
      <c r="AI143" s="18"/>
      <c r="AJ143" s="18">
        <v>6</v>
      </c>
      <c r="AK143" s="18"/>
      <c r="AL143" s="18">
        <v>6</v>
      </c>
      <c r="AM143" s="18"/>
      <c r="AN143" s="18"/>
      <c r="AO143" s="18"/>
      <c r="AP143" s="18">
        <v>2</v>
      </c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>
        <f t="shared" si="5"/>
        <v>14</v>
      </c>
    </row>
    <row r="144" spans="1:54" x14ac:dyDescent="0.3">
      <c r="A144" s="17" t="s">
        <v>241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9"/>
      <c r="M144" s="18"/>
      <c r="N144" s="18">
        <v>1</v>
      </c>
      <c r="O144" s="18">
        <v>2</v>
      </c>
      <c r="P144" s="18">
        <v>2</v>
      </c>
      <c r="Q144" s="18">
        <v>2</v>
      </c>
      <c r="R144" s="18">
        <v>2</v>
      </c>
      <c r="S144" s="18">
        <v>2</v>
      </c>
      <c r="T144" s="18">
        <v>2</v>
      </c>
      <c r="U144" s="18">
        <v>2</v>
      </c>
      <c r="V144" s="18">
        <v>2</v>
      </c>
      <c r="W144" s="18">
        <f t="shared" si="4"/>
        <v>17</v>
      </c>
      <c r="X144" s="16">
        <v>3020</v>
      </c>
      <c r="Y144" s="12">
        <v>14</v>
      </c>
      <c r="Z144" s="12">
        <v>0</v>
      </c>
      <c r="AA144" s="13">
        <v>1</v>
      </c>
      <c r="AB144" s="14" t="e">
        <v>#N/A</v>
      </c>
      <c r="AC144" s="14" t="e">
        <v>#N/A</v>
      </c>
      <c r="AD144" s="15"/>
      <c r="AE144" s="18"/>
      <c r="AF144" s="19"/>
      <c r="AG144" s="18"/>
      <c r="AH144" s="18"/>
      <c r="AI144" s="18"/>
      <c r="AJ144" s="18">
        <v>11</v>
      </c>
      <c r="AK144" s="18"/>
      <c r="AL144" s="18"/>
      <c r="AM144" s="18"/>
      <c r="AN144" s="18"/>
      <c r="AO144" s="18"/>
      <c r="AP144" s="18">
        <v>6</v>
      </c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>
        <f t="shared" si="5"/>
        <v>17</v>
      </c>
    </row>
    <row r="145" spans="1:54" x14ac:dyDescent="0.3">
      <c r="A145" s="17" t="s">
        <v>243</v>
      </c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9"/>
      <c r="M145" s="18"/>
      <c r="N145" s="18"/>
      <c r="O145" s="18"/>
      <c r="P145" s="18"/>
      <c r="Q145" s="18">
        <v>8</v>
      </c>
      <c r="R145" s="18">
        <v>8</v>
      </c>
      <c r="S145" s="18">
        <v>8</v>
      </c>
      <c r="T145" s="18">
        <v>8</v>
      </c>
      <c r="U145" s="18">
        <v>8</v>
      </c>
      <c r="V145" s="18">
        <v>8</v>
      </c>
      <c r="W145" s="18">
        <f t="shared" si="4"/>
        <v>48</v>
      </c>
      <c r="X145" s="16">
        <v>3020</v>
      </c>
      <c r="Y145" s="12">
        <v>56</v>
      </c>
      <c r="Z145" s="12">
        <v>0</v>
      </c>
      <c r="AA145" s="13">
        <v>4</v>
      </c>
      <c r="AB145" s="14" t="e">
        <v>#N/A</v>
      </c>
      <c r="AC145" s="14" t="e">
        <v>#N/A</v>
      </c>
      <c r="AD145" s="15"/>
      <c r="AE145" s="18"/>
      <c r="AF145" s="19"/>
      <c r="AG145" s="18"/>
      <c r="AH145" s="18"/>
      <c r="AI145" s="18"/>
      <c r="AJ145" s="18"/>
      <c r="AK145" s="18">
        <v>24</v>
      </c>
      <c r="AL145" s="18"/>
      <c r="AM145" s="18"/>
      <c r="AN145" s="18">
        <v>24</v>
      </c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>
        <f t="shared" si="5"/>
        <v>48</v>
      </c>
    </row>
    <row r="146" spans="1:54" x14ac:dyDescent="0.3">
      <c r="A146" s="17" t="s">
        <v>244</v>
      </c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9"/>
      <c r="M146" s="18"/>
      <c r="N146" s="18">
        <v>1</v>
      </c>
      <c r="O146" s="18">
        <v>3</v>
      </c>
      <c r="P146" s="18">
        <v>2</v>
      </c>
      <c r="Q146" s="18">
        <v>2</v>
      </c>
      <c r="R146" s="18">
        <v>2</v>
      </c>
      <c r="S146" s="18">
        <v>2</v>
      </c>
      <c r="T146" s="18">
        <v>1</v>
      </c>
      <c r="U146" s="18">
        <v>2</v>
      </c>
      <c r="V146" s="18">
        <v>3</v>
      </c>
      <c r="W146" s="18">
        <f t="shared" si="4"/>
        <v>18</v>
      </c>
      <c r="X146" s="16">
        <v>3020</v>
      </c>
      <c r="Y146" s="12">
        <v>14</v>
      </c>
      <c r="Z146" s="12">
        <v>0</v>
      </c>
      <c r="AA146" s="13">
        <v>1</v>
      </c>
      <c r="AB146" s="14" t="e">
        <v>#N/A</v>
      </c>
      <c r="AC146" s="14" t="e">
        <v>#N/A</v>
      </c>
      <c r="AD146" s="15"/>
      <c r="AE146" s="18"/>
      <c r="AF146" s="19"/>
      <c r="AG146" s="18"/>
      <c r="AH146" s="18"/>
      <c r="AI146" s="18"/>
      <c r="AJ146" s="18">
        <v>4</v>
      </c>
      <c r="AK146" s="18"/>
      <c r="AL146" s="18">
        <v>4</v>
      </c>
      <c r="AM146" s="18"/>
      <c r="AN146" s="18"/>
      <c r="AO146" s="18">
        <v>4</v>
      </c>
      <c r="AP146" s="18">
        <v>4</v>
      </c>
      <c r="AQ146" s="18"/>
      <c r="AR146" s="18"/>
      <c r="AS146" s="18">
        <v>2</v>
      </c>
      <c r="AT146" s="18"/>
      <c r="AU146" s="18"/>
      <c r="AV146" s="18"/>
      <c r="AW146" s="18"/>
      <c r="AX146" s="18"/>
      <c r="AY146" s="18"/>
      <c r="AZ146" s="18"/>
      <c r="BA146" s="18"/>
      <c r="BB146" s="18">
        <f t="shared" si="5"/>
        <v>18</v>
      </c>
    </row>
    <row r="147" spans="1:54" x14ac:dyDescent="0.3">
      <c r="A147" s="17" t="s">
        <v>245</v>
      </c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9"/>
      <c r="M147" s="18"/>
      <c r="N147" s="18"/>
      <c r="O147" s="18"/>
      <c r="P147" s="18"/>
      <c r="Q147" s="18">
        <v>2</v>
      </c>
      <c r="R147" s="18">
        <v>2</v>
      </c>
      <c r="S147" s="18">
        <v>2</v>
      </c>
      <c r="T147" s="18">
        <v>2</v>
      </c>
      <c r="U147" s="18">
        <v>2</v>
      </c>
      <c r="V147" s="18">
        <v>2</v>
      </c>
      <c r="W147" s="18">
        <f t="shared" si="4"/>
        <v>12</v>
      </c>
      <c r="X147" s="16">
        <v>3020</v>
      </c>
      <c r="Y147" s="12">
        <v>15</v>
      </c>
      <c r="Z147" s="12">
        <v>0</v>
      </c>
      <c r="AA147" s="13">
        <v>1</v>
      </c>
      <c r="AB147" s="14" t="e">
        <v>#N/A</v>
      </c>
      <c r="AC147" s="14" t="e">
        <v>#N/A</v>
      </c>
      <c r="AD147" s="15"/>
      <c r="AE147" s="18"/>
      <c r="AF147" s="19"/>
      <c r="AG147" s="18"/>
      <c r="AH147" s="18"/>
      <c r="AI147" s="18"/>
      <c r="AJ147" s="18"/>
      <c r="AK147" s="18"/>
      <c r="AL147" s="18"/>
      <c r="AM147" s="18">
        <v>4</v>
      </c>
      <c r="AN147" s="18"/>
      <c r="AO147" s="18">
        <v>8</v>
      </c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>
        <f t="shared" si="5"/>
        <v>12</v>
      </c>
    </row>
    <row r="148" spans="1:54" x14ac:dyDescent="0.3">
      <c r="A148" s="17" t="s">
        <v>247</v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9"/>
      <c r="M148" s="18"/>
      <c r="N148" s="18">
        <v>2</v>
      </c>
      <c r="O148" s="18">
        <v>2</v>
      </c>
      <c r="P148" s="18">
        <v>2</v>
      </c>
      <c r="Q148" s="18">
        <v>2</v>
      </c>
      <c r="R148" s="18">
        <v>2</v>
      </c>
      <c r="S148" s="18">
        <v>2</v>
      </c>
      <c r="T148" s="18">
        <v>2</v>
      </c>
      <c r="U148" s="18">
        <v>2</v>
      </c>
      <c r="V148" s="18">
        <v>2</v>
      </c>
      <c r="W148" s="18">
        <f t="shared" si="4"/>
        <v>18</v>
      </c>
      <c r="X148" s="16">
        <v>3020</v>
      </c>
      <c r="Y148" s="12">
        <v>14</v>
      </c>
      <c r="Z148" s="12">
        <v>0</v>
      </c>
      <c r="AA148" s="13">
        <v>1</v>
      </c>
      <c r="AB148" s="14" t="e">
        <v>#N/A</v>
      </c>
      <c r="AC148" s="14" t="e">
        <v>#N/A</v>
      </c>
      <c r="AD148" s="15"/>
      <c r="AE148" s="18"/>
      <c r="AF148" s="19"/>
      <c r="AG148" s="18"/>
      <c r="AH148" s="18"/>
      <c r="AI148" s="18"/>
      <c r="AJ148" s="18"/>
      <c r="AK148" s="18">
        <v>12</v>
      </c>
      <c r="AL148" s="18"/>
      <c r="AM148" s="18"/>
      <c r="AN148" s="18"/>
      <c r="AO148" s="18"/>
      <c r="AP148" s="18"/>
      <c r="AQ148" s="18">
        <v>6</v>
      </c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>
        <f t="shared" si="5"/>
        <v>18</v>
      </c>
    </row>
    <row r="149" spans="1:54" x14ac:dyDescent="0.3">
      <c r="A149" s="17" t="s">
        <v>137</v>
      </c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9"/>
      <c r="M149" s="18"/>
      <c r="N149" s="18"/>
      <c r="O149" s="18">
        <v>2</v>
      </c>
      <c r="P149" s="18">
        <v>2</v>
      </c>
      <c r="Q149" s="18">
        <v>2</v>
      </c>
      <c r="R149" s="18">
        <v>2</v>
      </c>
      <c r="S149" s="18">
        <v>2</v>
      </c>
      <c r="T149" s="18">
        <v>2</v>
      </c>
      <c r="U149" s="18">
        <v>2</v>
      </c>
      <c r="V149" s="18">
        <v>2</v>
      </c>
      <c r="W149" s="18">
        <f t="shared" si="4"/>
        <v>16</v>
      </c>
      <c r="X149" s="16">
        <v>3021</v>
      </c>
      <c r="Y149" s="12">
        <v>10</v>
      </c>
      <c r="Z149" s="12">
        <v>0</v>
      </c>
      <c r="AA149" s="13">
        <v>1</v>
      </c>
      <c r="AB149" s="14" t="e">
        <v>#N/A</v>
      </c>
      <c r="AC149" s="14" t="e">
        <v>#N/A</v>
      </c>
      <c r="AD149" s="15"/>
      <c r="AE149" s="18"/>
      <c r="AF149" s="19"/>
      <c r="AG149" s="18"/>
      <c r="AH149" s="18"/>
      <c r="AI149" s="18"/>
      <c r="AJ149" s="18">
        <v>3</v>
      </c>
      <c r="AK149" s="18">
        <v>1</v>
      </c>
      <c r="AL149" s="18"/>
      <c r="AM149" s="18"/>
      <c r="AN149" s="18"/>
      <c r="AO149" s="18"/>
      <c r="AP149" s="18"/>
      <c r="AQ149" s="18">
        <v>12</v>
      </c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>
        <f t="shared" si="5"/>
        <v>16</v>
      </c>
    </row>
    <row r="150" spans="1:54" x14ac:dyDescent="0.3">
      <c r="A150" s="17" t="s">
        <v>236</v>
      </c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9"/>
      <c r="M150" s="18"/>
      <c r="N150" s="18"/>
      <c r="O150" s="18"/>
      <c r="P150" s="18">
        <v>2</v>
      </c>
      <c r="Q150" s="18">
        <v>2</v>
      </c>
      <c r="R150" s="18">
        <v>2</v>
      </c>
      <c r="S150" s="18">
        <v>3</v>
      </c>
      <c r="T150" s="18">
        <v>1</v>
      </c>
      <c r="U150" s="18">
        <v>2</v>
      </c>
      <c r="V150" s="18">
        <v>2</v>
      </c>
      <c r="W150" s="18">
        <f t="shared" si="4"/>
        <v>14</v>
      </c>
      <c r="X150" s="16">
        <v>3021</v>
      </c>
      <c r="Y150" s="12">
        <v>14</v>
      </c>
      <c r="Z150" s="12">
        <v>0</v>
      </c>
      <c r="AA150" s="13">
        <v>1</v>
      </c>
      <c r="AB150" s="14" t="e">
        <v>#N/A</v>
      </c>
      <c r="AC150" s="14" t="e">
        <v>#N/A</v>
      </c>
      <c r="AD150" s="15"/>
      <c r="AE150" s="18"/>
      <c r="AF150" s="19"/>
      <c r="AG150" s="18"/>
      <c r="AH150" s="18"/>
      <c r="AI150" s="18"/>
      <c r="AJ150" s="18"/>
      <c r="AK150" s="18"/>
      <c r="AL150" s="18">
        <v>12</v>
      </c>
      <c r="AM150" s="18"/>
      <c r="AN150" s="18"/>
      <c r="AO150" s="18"/>
      <c r="AP150" s="18"/>
      <c r="AQ150" s="18"/>
      <c r="AR150" s="18">
        <v>2</v>
      </c>
      <c r="AS150" s="18"/>
      <c r="AT150" s="18"/>
      <c r="AU150" s="18"/>
      <c r="AV150" s="18"/>
      <c r="AW150" s="18"/>
      <c r="AX150" s="18"/>
      <c r="AY150" s="18"/>
      <c r="AZ150" s="18"/>
      <c r="BA150" s="18"/>
      <c r="BB150" s="18">
        <f t="shared" si="5"/>
        <v>14</v>
      </c>
    </row>
    <row r="151" spans="1:54" x14ac:dyDescent="0.3">
      <c r="A151" s="17" t="s">
        <v>248</v>
      </c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9"/>
      <c r="M151" s="18"/>
      <c r="N151" s="18"/>
      <c r="O151" s="18">
        <v>2</v>
      </c>
      <c r="P151" s="18">
        <v>2</v>
      </c>
      <c r="Q151" s="18">
        <v>2</v>
      </c>
      <c r="R151" s="18">
        <v>2</v>
      </c>
      <c r="S151" s="18">
        <v>2</v>
      </c>
      <c r="T151" s="18">
        <v>2</v>
      </c>
      <c r="U151" s="18">
        <v>2</v>
      </c>
      <c r="V151" s="18">
        <v>2</v>
      </c>
      <c r="W151" s="18">
        <f t="shared" si="4"/>
        <v>16</v>
      </c>
      <c r="X151" s="16">
        <v>3021</v>
      </c>
      <c r="Y151" s="12">
        <v>15</v>
      </c>
      <c r="Z151" s="12">
        <v>0</v>
      </c>
      <c r="AA151" s="13">
        <v>1</v>
      </c>
      <c r="AB151" s="14" t="e">
        <v>#N/A</v>
      </c>
      <c r="AC151" s="14" t="e">
        <v>#N/A</v>
      </c>
      <c r="AD151" s="15"/>
      <c r="AE151" s="18"/>
      <c r="AF151" s="19"/>
      <c r="AG151" s="18"/>
      <c r="AH151" s="18"/>
      <c r="AI151" s="18"/>
      <c r="AJ151" s="18"/>
      <c r="AK151" s="18">
        <v>2</v>
      </c>
      <c r="AL151" s="18">
        <v>12</v>
      </c>
      <c r="AM151" s="18"/>
      <c r="AN151" s="18"/>
      <c r="AO151" s="18"/>
      <c r="AP151" s="18"/>
      <c r="AQ151" s="18"/>
      <c r="AR151" s="18">
        <v>2</v>
      </c>
      <c r="AS151" s="18"/>
      <c r="AT151" s="18"/>
      <c r="AU151" s="18"/>
      <c r="AV151" s="18"/>
      <c r="AW151" s="18"/>
      <c r="AX151" s="18"/>
      <c r="AY151" s="18"/>
      <c r="AZ151" s="18"/>
      <c r="BA151" s="18"/>
      <c r="BB151" s="18">
        <f t="shared" si="5"/>
        <v>16</v>
      </c>
    </row>
    <row r="152" spans="1:54" x14ac:dyDescent="0.3">
      <c r="A152" s="17" t="s">
        <v>249</v>
      </c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9"/>
      <c r="M152" s="18"/>
      <c r="N152" s="18">
        <v>2</v>
      </c>
      <c r="O152" s="18">
        <v>2</v>
      </c>
      <c r="P152" s="18">
        <v>2</v>
      </c>
      <c r="Q152" s="18">
        <v>3</v>
      </c>
      <c r="R152" s="18">
        <v>2</v>
      </c>
      <c r="S152" s="18">
        <v>2</v>
      </c>
      <c r="T152" s="18">
        <v>1</v>
      </c>
      <c r="U152" s="18">
        <v>2</v>
      </c>
      <c r="V152" s="18">
        <v>2</v>
      </c>
      <c r="W152" s="18">
        <f t="shared" si="4"/>
        <v>18</v>
      </c>
      <c r="X152" s="16">
        <v>3021</v>
      </c>
      <c r="Y152" s="12">
        <v>15</v>
      </c>
      <c r="Z152" s="12">
        <v>0</v>
      </c>
      <c r="AA152" s="13">
        <v>1</v>
      </c>
      <c r="AB152" s="14" t="e">
        <v>#N/A</v>
      </c>
      <c r="AC152" s="14" t="e">
        <v>#N/A</v>
      </c>
      <c r="AD152" s="15"/>
      <c r="AE152" s="18"/>
      <c r="AF152" s="19"/>
      <c r="AG152" s="18"/>
      <c r="AH152" s="18"/>
      <c r="AI152" s="18"/>
      <c r="AJ152" s="18">
        <v>12</v>
      </c>
      <c r="AK152" s="18"/>
      <c r="AL152" s="18"/>
      <c r="AM152" s="18"/>
      <c r="AN152" s="18"/>
      <c r="AO152" s="18"/>
      <c r="AP152" s="18">
        <v>6</v>
      </c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>
        <f t="shared" si="5"/>
        <v>18</v>
      </c>
    </row>
    <row r="153" spans="1:54" x14ac:dyDescent="0.3">
      <c r="A153" s="17" t="s">
        <v>250</v>
      </c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9"/>
      <c r="M153" s="18"/>
      <c r="N153" s="18"/>
      <c r="O153" s="18"/>
      <c r="P153" s="18">
        <v>1</v>
      </c>
      <c r="Q153" s="18">
        <v>4</v>
      </c>
      <c r="R153" s="18">
        <v>4</v>
      </c>
      <c r="S153" s="18">
        <v>6</v>
      </c>
      <c r="T153" s="18">
        <v>2</v>
      </c>
      <c r="U153" s="18">
        <v>4</v>
      </c>
      <c r="V153" s="18">
        <v>4</v>
      </c>
      <c r="W153" s="18">
        <f t="shared" si="4"/>
        <v>25</v>
      </c>
      <c r="X153" s="16">
        <v>3021</v>
      </c>
      <c r="Y153" s="12">
        <v>31</v>
      </c>
      <c r="Z153" s="12">
        <v>0</v>
      </c>
      <c r="AA153" s="13">
        <v>2</v>
      </c>
      <c r="AB153" s="14" t="e">
        <v>#N/A</v>
      </c>
      <c r="AC153" s="14" t="e">
        <v>#N/A</v>
      </c>
      <c r="AD153" s="15"/>
      <c r="AE153" s="18"/>
      <c r="AF153" s="19"/>
      <c r="AG153" s="18">
        <v>25</v>
      </c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>
        <f t="shared" si="5"/>
        <v>25</v>
      </c>
    </row>
    <row r="154" spans="1:54" x14ac:dyDescent="0.3">
      <c r="A154" s="17" t="s">
        <v>251</v>
      </c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9"/>
      <c r="M154" s="18"/>
      <c r="N154" s="18"/>
      <c r="O154" s="18"/>
      <c r="P154" s="18">
        <v>6</v>
      </c>
      <c r="Q154" s="18">
        <v>8</v>
      </c>
      <c r="R154" s="18">
        <v>8</v>
      </c>
      <c r="S154" s="18">
        <v>12</v>
      </c>
      <c r="T154" s="18">
        <v>4</v>
      </c>
      <c r="U154" s="18">
        <v>8</v>
      </c>
      <c r="V154" s="18">
        <v>8</v>
      </c>
      <c r="W154" s="18">
        <f t="shared" si="4"/>
        <v>54</v>
      </c>
      <c r="X154" s="16">
        <v>3021</v>
      </c>
      <c r="Y154" s="12">
        <v>62</v>
      </c>
      <c r="Z154" s="12">
        <v>0</v>
      </c>
      <c r="AA154" s="13">
        <v>4</v>
      </c>
      <c r="AB154" s="14" t="e">
        <v>#N/A</v>
      </c>
      <c r="AC154" s="14" t="e">
        <v>#N/A</v>
      </c>
      <c r="AD154" s="15"/>
      <c r="AE154" s="18"/>
      <c r="AF154" s="19"/>
      <c r="AG154" s="18"/>
      <c r="AH154" s="18"/>
      <c r="AI154" s="18"/>
      <c r="AJ154" s="18"/>
      <c r="AK154" s="18"/>
      <c r="AL154" s="18"/>
      <c r="AM154" s="18">
        <v>48</v>
      </c>
      <c r="AN154" s="18"/>
      <c r="AO154" s="18"/>
      <c r="AP154" s="18"/>
      <c r="AQ154" s="18"/>
      <c r="AR154" s="18"/>
      <c r="AS154" s="18">
        <v>6</v>
      </c>
      <c r="AT154" s="18"/>
      <c r="AU154" s="18"/>
      <c r="AV154" s="18"/>
      <c r="AW154" s="18"/>
      <c r="AX154" s="18"/>
      <c r="AY154" s="18"/>
      <c r="AZ154" s="18"/>
      <c r="BA154" s="18"/>
      <c r="BB154" s="18">
        <f t="shared" si="5"/>
        <v>54</v>
      </c>
    </row>
    <row r="155" spans="1:54" x14ac:dyDescent="0.3">
      <c r="A155" s="17" t="s">
        <v>253</v>
      </c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9"/>
      <c r="M155" s="18"/>
      <c r="N155" s="18"/>
      <c r="O155" s="18">
        <v>3</v>
      </c>
      <c r="P155" s="18">
        <v>2</v>
      </c>
      <c r="Q155" s="18">
        <v>2</v>
      </c>
      <c r="R155" s="18">
        <v>2</v>
      </c>
      <c r="S155" s="18">
        <v>2</v>
      </c>
      <c r="T155" s="18">
        <v>1</v>
      </c>
      <c r="U155" s="18">
        <v>2</v>
      </c>
      <c r="V155" s="18">
        <v>3</v>
      </c>
      <c r="W155" s="18">
        <f t="shared" si="4"/>
        <v>17</v>
      </c>
      <c r="X155" s="16">
        <v>3021</v>
      </c>
      <c r="Y155" s="12">
        <v>15</v>
      </c>
      <c r="Z155" s="12">
        <v>0</v>
      </c>
      <c r="AA155" s="13">
        <v>1</v>
      </c>
      <c r="AB155" s="14" t="e">
        <v>#N/A</v>
      </c>
      <c r="AC155" s="14" t="e">
        <v>#N/A</v>
      </c>
      <c r="AD155" s="15"/>
      <c r="AE155" s="18"/>
      <c r="AF155" s="19"/>
      <c r="AG155" s="18"/>
      <c r="AH155" s="18"/>
      <c r="AI155" s="18"/>
      <c r="AJ155" s="18"/>
      <c r="AK155" s="18">
        <v>4</v>
      </c>
      <c r="AL155" s="18"/>
      <c r="AM155" s="18">
        <v>4</v>
      </c>
      <c r="AN155" s="18"/>
      <c r="AO155" s="18">
        <v>4</v>
      </c>
      <c r="AP155" s="18"/>
      <c r="AQ155" s="18">
        <v>4</v>
      </c>
      <c r="AR155" s="18"/>
      <c r="AS155" s="18">
        <v>1</v>
      </c>
      <c r="AT155" s="18"/>
      <c r="AU155" s="18"/>
      <c r="AV155" s="18"/>
      <c r="AW155" s="18"/>
      <c r="AX155" s="18"/>
      <c r="AY155" s="18"/>
      <c r="AZ155" s="18"/>
      <c r="BA155" s="18"/>
      <c r="BB155" s="18">
        <f t="shared" si="5"/>
        <v>17</v>
      </c>
    </row>
    <row r="156" spans="1:54" x14ac:dyDescent="0.3">
      <c r="A156" s="17" t="s">
        <v>254</v>
      </c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9"/>
      <c r="M156" s="18"/>
      <c r="N156" s="18"/>
      <c r="O156" s="18"/>
      <c r="P156" s="18"/>
      <c r="Q156" s="18"/>
      <c r="R156" s="18"/>
      <c r="S156" s="18">
        <v>3</v>
      </c>
      <c r="T156" s="18">
        <v>1</v>
      </c>
      <c r="U156" s="18">
        <v>2</v>
      </c>
      <c r="V156" s="18">
        <v>2</v>
      </c>
      <c r="W156" s="18">
        <f t="shared" si="4"/>
        <v>8</v>
      </c>
      <c r="X156" s="16">
        <v>3021</v>
      </c>
      <c r="Y156" s="12">
        <v>16</v>
      </c>
      <c r="Z156" s="12">
        <v>0</v>
      </c>
      <c r="AA156" s="13">
        <v>1</v>
      </c>
      <c r="AB156" s="14" t="e">
        <v>#N/A</v>
      </c>
      <c r="AC156" s="14" t="e">
        <v>#N/A</v>
      </c>
      <c r="AD156" s="15"/>
      <c r="AE156" s="18"/>
      <c r="AF156" s="19"/>
      <c r="AG156" s="18"/>
      <c r="AH156" s="18"/>
      <c r="AI156" s="18"/>
      <c r="AJ156" s="18"/>
      <c r="AK156" s="18"/>
      <c r="AL156" s="18"/>
      <c r="AM156" s="18">
        <v>4</v>
      </c>
      <c r="AN156" s="18"/>
      <c r="AO156" s="18">
        <v>3</v>
      </c>
      <c r="AP156" s="18">
        <v>1</v>
      </c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>
        <f t="shared" si="5"/>
        <v>8</v>
      </c>
    </row>
    <row r="157" spans="1:54" x14ac:dyDescent="0.3">
      <c r="A157" s="17" t="s">
        <v>255</v>
      </c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9"/>
      <c r="M157" s="18"/>
      <c r="N157" s="18">
        <v>1</v>
      </c>
      <c r="O157" s="18">
        <v>2</v>
      </c>
      <c r="P157" s="18">
        <v>2</v>
      </c>
      <c r="Q157" s="18">
        <v>2</v>
      </c>
      <c r="R157" s="18">
        <v>2</v>
      </c>
      <c r="S157" s="18">
        <v>2</v>
      </c>
      <c r="T157" s="18">
        <v>2</v>
      </c>
      <c r="U157" s="18">
        <v>2</v>
      </c>
      <c r="V157" s="18">
        <v>2</v>
      </c>
      <c r="W157" s="18">
        <f t="shared" si="4"/>
        <v>17</v>
      </c>
      <c r="X157" s="16">
        <v>3021</v>
      </c>
      <c r="Y157" s="12">
        <v>15</v>
      </c>
      <c r="Z157" s="12">
        <v>0</v>
      </c>
      <c r="AA157" s="13">
        <v>1</v>
      </c>
      <c r="AB157" s="14">
        <v>201615374</v>
      </c>
      <c r="AC157" s="14">
        <v>45</v>
      </c>
      <c r="AD157" s="15"/>
      <c r="AE157" s="18"/>
      <c r="AF157" s="19"/>
      <c r="AG157" s="18">
        <v>10</v>
      </c>
      <c r="AH157" s="18"/>
      <c r="AI157" s="18"/>
      <c r="AJ157" s="18"/>
      <c r="AK157" s="18">
        <v>7</v>
      </c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>
        <f t="shared" si="5"/>
        <v>17</v>
      </c>
    </row>
    <row r="158" spans="1:54" x14ac:dyDescent="0.3">
      <c r="A158" s="17" t="s">
        <v>257</v>
      </c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9"/>
      <c r="M158" s="18"/>
      <c r="N158" s="18"/>
      <c r="O158" s="18"/>
      <c r="P158" s="18"/>
      <c r="Q158" s="18"/>
      <c r="R158" s="18">
        <v>1</v>
      </c>
      <c r="S158" s="18">
        <v>3</v>
      </c>
      <c r="T158" s="18">
        <v>1</v>
      </c>
      <c r="U158" s="18">
        <v>2</v>
      </c>
      <c r="V158" s="18">
        <v>2</v>
      </c>
      <c r="W158" s="18">
        <f t="shared" si="4"/>
        <v>9</v>
      </c>
      <c r="X158" s="16">
        <v>3021</v>
      </c>
      <c r="Y158" s="12">
        <v>16</v>
      </c>
      <c r="Z158" s="12">
        <v>0</v>
      </c>
      <c r="AA158" s="13">
        <v>1</v>
      </c>
      <c r="AB158" s="14" t="e">
        <v>#N/A</v>
      </c>
      <c r="AC158" s="14" t="e">
        <v>#N/A</v>
      </c>
      <c r="AD158" s="15"/>
      <c r="AE158" s="18"/>
      <c r="AF158" s="19"/>
      <c r="AG158" s="18"/>
      <c r="AH158" s="18"/>
      <c r="AI158" s="18"/>
      <c r="AJ158" s="18"/>
      <c r="AK158" s="18"/>
      <c r="AL158" s="18">
        <v>3</v>
      </c>
      <c r="AM158" s="18">
        <v>6</v>
      </c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>
        <f t="shared" si="5"/>
        <v>9</v>
      </c>
    </row>
    <row r="159" spans="1:54" x14ac:dyDescent="0.3">
      <c r="A159" s="17" t="s">
        <v>156</v>
      </c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9"/>
      <c r="M159" s="18"/>
      <c r="N159" s="18"/>
      <c r="O159" s="18"/>
      <c r="P159" s="18">
        <v>2</v>
      </c>
      <c r="Q159" s="18">
        <v>2</v>
      </c>
      <c r="R159" s="18">
        <v>2</v>
      </c>
      <c r="S159" s="18">
        <v>3</v>
      </c>
      <c r="T159" s="18">
        <v>1</v>
      </c>
      <c r="U159" s="18">
        <v>2</v>
      </c>
      <c r="V159" s="18">
        <v>2</v>
      </c>
      <c r="W159" s="18">
        <f t="shared" si="4"/>
        <v>14</v>
      </c>
      <c r="X159" s="16">
        <v>3022</v>
      </c>
      <c r="Y159" s="12">
        <v>11</v>
      </c>
      <c r="Z159" s="12">
        <v>0</v>
      </c>
      <c r="AA159" s="13">
        <v>1</v>
      </c>
      <c r="AB159" s="14" t="e">
        <v>#N/A</v>
      </c>
      <c r="AC159" s="14" t="e">
        <v>#N/A</v>
      </c>
      <c r="AD159" s="15"/>
      <c r="AE159" s="18"/>
      <c r="AF159" s="19"/>
      <c r="AG159" s="18"/>
      <c r="AH159" s="18"/>
      <c r="AI159" s="18"/>
      <c r="AJ159" s="18">
        <v>2</v>
      </c>
      <c r="AK159" s="18">
        <v>4</v>
      </c>
      <c r="AL159" s="18"/>
      <c r="AM159" s="18">
        <v>4</v>
      </c>
      <c r="AN159" s="18"/>
      <c r="AO159" s="18">
        <v>4</v>
      </c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>
        <f t="shared" si="5"/>
        <v>14</v>
      </c>
    </row>
    <row r="160" spans="1:54" x14ac:dyDescent="0.3">
      <c r="A160" s="17" t="s">
        <v>239</v>
      </c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9"/>
      <c r="M160" s="18"/>
      <c r="N160" s="18"/>
      <c r="O160" s="18"/>
      <c r="P160" s="18"/>
      <c r="Q160" s="18"/>
      <c r="R160" s="18">
        <v>2</v>
      </c>
      <c r="S160" s="18">
        <v>2</v>
      </c>
      <c r="T160" s="18">
        <v>2</v>
      </c>
      <c r="U160" s="18">
        <v>2</v>
      </c>
      <c r="V160" s="18">
        <v>2</v>
      </c>
      <c r="W160" s="18">
        <f t="shared" si="4"/>
        <v>10</v>
      </c>
      <c r="X160" s="16">
        <v>3022</v>
      </c>
      <c r="Y160" s="12">
        <v>14</v>
      </c>
      <c r="Z160" s="12">
        <v>0</v>
      </c>
      <c r="AA160" s="13">
        <v>1</v>
      </c>
      <c r="AB160" s="14" t="e">
        <v>#N/A</v>
      </c>
      <c r="AC160" s="14" t="e">
        <v>#N/A</v>
      </c>
      <c r="AD160" s="15"/>
      <c r="AE160" s="18"/>
      <c r="AF160" s="19"/>
      <c r="AG160" s="18"/>
      <c r="AH160" s="18"/>
      <c r="AI160" s="18"/>
      <c r="AJ160" s="18"/>
      <c r="AK160" s="18"/>
      <c r="AL160" s="18"/>
      <c r="AM160" s="18"/>
      <c r="AN160" s="18"/>
      <c r="AO160" s="18">
        <v>6</v>
      </c>
      <c r="AP160" s="18"/>
      <c r="AQ160" s="18"/>
      <c r="AR160" s="18">
        <v>4</v>
      </c>
      <c r="AS160" s="18"/>
      <c r="AT160" s="18"/>
      <c r="AU160" s="18"/>
      <c r="AV160" s="18"/>
      <c r="AW160" s="18"/>
      <c r="AX160" s="18"/>
      <c r="AY160" s="18"/>
      <c r="AZ160" s="18"/>
      <c r="BA160" s="18"/>
      <c r="BB160" s="18">
        <f t="shared" si="5"/>
        <v>10</v>
      </c>
    </row>
    <row r="161" spans="1:54" x14ac:dyDescent="0.3">
      <c r="A161" s="17" t="s">
        <v>259</v>
      </c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9"/>
      <c r="M161" s="18"/>
      <c r="N161" s="18"/>
      <c r="O161" s="18"/>
      <c r="P161" s="18">
        <v>4</v>
      </c>
      <c r="Q161" s="18">
        <v>4</v>
      </c>
      <c r="R161" s="18">
        <v>4</v>
      </c>
      <c r="S161" s="18">
        <v>6</v>
      </c>
      <c r="T161" s="18">
        <v>2</v>
      </c>
      <c r="U161" s="18">
        <v>4</v>
      </c>
      <c r="V161" s="18">
        <v>4</v>
      </c>
      <c r="W161" s="18">
        <f t="shared" si="4"/>
        <v>28</v>
      </c>
      <c r="X161" s="16">
        <v>3022</v>
      </c>
      <c r="Y161" s="12">
        <v>32</v>
      </c>
      <c r="Z161" s="12">
        <v>0</v>
      </c>
      <c r="AA161" s="13">
        <v>2</v>
      </c>
      <c r="AB161" s="14" t="e">
        <v>#N/A</v>
      </c>
      <c r="AC161" s="14" t="e">
        <v>#N/A</v>
      </c>
      <c r="AD161" s="15"/>
      <c r="AE161" s="18"/>
      <c r="AF161" s="19"/>
      <c r="AG161" s="18"/>
      <c r="AH161" s="18"/>
      <c r="AI161" s="18"/>
      <c r="AJ161" s="18">
        <v>4</v>
      </c>
      <c r="AK161" s="18">
        <v>24</v>
      </c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>
        <f t="shared" si="5"/>
        <v>28</v>
      </c>
    </row>
    <row r="162" spans="1:54" x14ac:dyDescent="0.3">
      <c r="A162" s="17" t="s">
        <v>261</v>
      </c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9"/>
      <c r="M162" s="18"/>
      <c r="N162" s="18"/>
      <c r="O162" s="18"/>
      <c r="P162" s="18"/>
      <c r="Q162" s="18"/>
      <c r="R162" s="18">
        <v>4</v>
      </c>
      <c r="S162" s="18">
        <v>4</v>
      </c>
      <c r="T162" s="18">
        <v>4</v>
      </c>
      <c r="U162" s="18">
        <v>4</v>
      </c>
      <c r="V162" s="18">
        <v>4</v>
      </c>
      <c r="W162" s="18">
        <f t="shared" si="4"/>
        <v>20</v>
      </c>
      <c r="X162" s="16">
        <v>3022</v>
      </c>
      <c r="Y162" s="12">
        <v>32</v>
      </c>
      <c r="Z162" s="12">
        <v>0</v>
      </c>
      <c r="AA162" s="13">
        <v>2</v>
      </c>
      <c r="AB162" s="14" t="e">
        <v>#N/A</v>
      </c>
      <c r="AC162" s="14" t="e">
        <v>#N/A</v>
      </c>
      <c r="AD162" s="15"/>
      <c r="AE162" s="18"/>
      <c r="AF162" s="19"/>
      <c r="AG162" s="18"/>
      <c r="AH162" s="18"/>
      <c r="AI162" s="18"/>
      <c r="AJ162" s="18"/>
      <c r="AK162" s="18"/>
      <c r="AL162" s="18"/>
      <c r="AM162" s="18"/>
      <c r="AN162" s="18"/>
      <c r="AO162" s="18">
        <v>12</v>
      </c>
      <c r="AP162" s="18"/>
      <c r="AQ162" s="18"/>
      <c r="AR162" s="18">
        <v>8</v>
      </c>
      <c r="AS162" s="18"/>
      <c r="AT162" s="18"/>
      <c r="AU162" s="18"/>
      <c r="AV162" s="18"/>
      <c r="AW162" s="18"/>
      <c r="AX162" s="18"/>
      <c r="AY162" s="18"/>
      <c r="AZ162" s="18"/>
      <c r="BA162" s="18"/>
      <c r="BB162" s="18">
        <f t="shared" si="5"/>
        <v>20</v>
      </c>
    </row>
    <row r="163" spans="1:54" x14ac:dyDescent="0.3">
      <c r="A163" s="17" t="s">
        <v>262</v>
      </c>
      <c r="B163" s="18"/>
      <c r="C163" s="18"/>
      <c r="D163" s="18">
        <v>2</v>
      </c>
      <c r="E163" s="18"/>
      <c r="F163" s="18">
        <v>5</v>
      </c>
      <c r="G163" s="18">
        <v>3</v>
      </c>
      <c r="H163" s="18">
        <v>3</v>
      </c>
      <c r="I163" s="18">
        <v>2</v>
      </c>
      <c r="J163" s="18">
        <v>3</v>
      </c>
      <c r="K163" s="18">
        <v>1</v>
      </c>
      <c r="L163" s="19"/>
      <c r="M163" s="18">
        <v>1</v>
      </c>
      <c r="N163" s="18">
        <v>1</v>
      </c>
      <c r="O163" s="18">
        <v>1</v>
      </c>
      <c r="P163" s="18">
        <v>2</v>
      </c>
      <c r="Q163" s="18"/>
      <c r="R163" s="18"/>
      <c r="S163" s="18">
        <v>2</v>
      </c>
      <c r="T163" s="18">
        <v>1</v>
      </c>
      <c r="U163" s="18">
        <v>2</v>
      </c>
      <c r="V163" s="18">
        <v>2</v>
      </c>
      <c r="W163" s="18">
        <f t="shared" si="4"/>
        <v>31</v>
      </c>
      <c r="X163" s="16">
        <v>3022</v>
      </c>
      <c r="Y163" s="12">
        <v>0</v>
      </c>
      <c r="Z163" s="12">
        <v>0</v>
      </c>
      <c r="AA163" s="13">
        <v>1</v>
      </c>
      <c r="AB163" s="14" t="e">
        <v>#N/A</v>
      </c>
      <c r="AC163" s="14" t="e">
        <v>#N/A</v>
      </c>
      <c r="AD163" s="15"/>
      <c r="AE163" s="18"/>
      <c r="AF163" s="19"/>
      <c r="AG163" s="18">
        <v>24</v>
      </c>
      <c r="AH163" s="18"/>
      <c r="AI163" s="18"/>
      <c r="AJ163" s="18"/>
      <c r="AK163" s="18">
        <v>7</v>
      </c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>
        <f t="shared" si="5"/>
        <v>31</v>
      </c>
    </row>
    <row r="164" spans="1:54" x14ac:dyDescent="0.3">
      <c r="A164" s="17" t="s">
        <v>264</v>
      </c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9"/>
      <c r="M164" s="18"/>
      <c r="N164" s="18"/>
      <c r="O164" s="18">
        <v>1</v>
      </c>
      <c r="P164" s="18">
        <v>2</v>
      </c>
      <c r="Q164" s="18">
        <v>2</v>
      </c>
      <c r="R164" s="18">
        <v>2</v>
      </c>
      <c r="S164" s="18">
        <v>2</v>
      </c>
      <c r="T164" s="18">
        <v>2</v>
      </c>
      <c r="U164" s="18">
        <v>2</v>
      </c>
      <c r="V164" s="18">
        <v>2</v>
      </c>
      <c r="W164" s="18">
        <f t="shared" si="4"/>
        <v>15</v>
      </c>
      <c r="X164" s="16">
        <v>3022</v>
      </c>
      <c r="Y164" s="12">
        <v>16</v>
      </c>
      <c r="Z164" s="12">
        <v>0</v>
      </c>
      <c r="AA164" s="13">
        <v>1</v>
      </c>
      <c r="AB164" s="14" t="e">
        <v>#N/A</v>
      </c>
      <c r="AC164" s="14" t="e">
        <v>#N/A</v>
      </c>
      <c r="AD164" s="15"/>
      <c r="AE164" s="18"/>
      <c r="AF164" s="19"/>
      <c r="AG164" s="18"/>
      <c r="AH164" s="18"/>
      <c r="AI164" s="18"/>
      <c r="AJ164" s="18">
        <v>9</v>
      </c>
      <c r="AK164" s="18"/>
      <c r="AL164" s="18"/>
      <c r="AM164" s="18"/>
      <c r="AN164" s="18"/>
      <c r="AO164" s="18"/>
      <c r="AP164" s="18">
        <v>6</v>
      </c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>
        <f t="shared" si="5"/>
        <v>15</v>
      </c>
    </row>
    <row r="165" spans="1:54" x14ac:dyDescent="0.3">
      <c r="A165" s="17" t="s">
        <v>266</v>
      </c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9"/>
      <c r="M165" s="18"/>
      <c r="N165" s="18"/>
      <c r="O165" s="18"/>
      <c r="P165" s="18"/>
      <c r="Q165" s="18">
        <v>4</v>
      </c>
      <c r="R165" s="18">
        <v>4</v>
      </c>
      <c r="S165" s="18">
        <v>6</v>
      </c>
      <c r="T165" s="18">
        <v>2</v>
      </c>
      <c r="U165" s="18">
        <v>4</v>
      </c>
      <c r="V165" s="18">
        <v>4</v>
      </c>
      <c r="W165" s="18">
        <f t="shared" si="4"/>
        <v>24</v>
      </c>
      <c r="X165" s="16">
        <v>3022</v>
      </c>
      <c r="Y165" s="12">
        <v>32</v>
      </c>
      <c r="Z165" s="12">
        <v>0</v>
      </c>
      <c r="AA165" s="13">
        <v>2</v>
      </c>
      <c r="AB165" s="14" t="e">
        <v>#N/A</v>
      </c>
      <c r="AC165" s="14" t="e">
        <v>#N/A</v>
      </c>
      <c r="AD165" s="15"/>
      <c r="AE165" s="18"/>
      <c r="AF165" s="19"/>
      <c r="AG165" s="18"/>
      <c r="AH165" s="18"/>
      <c r="AI165" s="18"/>
      <c r="AJ165" s="18"/>
      <c r="AK165" s="18"/>
      <c r="AL165" s="18"/>
      <c r="AM165" s="18">
        <v>24</v>
      </c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>
        <f t="shared" si="5"/>
        <v>24</v>
      </c>
    </row>
    <row r="166" spans="1:54" x14ac:dyDescent="0.3">
      <c r="A166" s="17" t="s">
        <v>267</v>
      </c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9"/>
      <c r="M166" s="18"/>
      <c r="N166" s="18"/>
      <c r="O166" s="18"/>
      <c r="P166" s="18">
        <v>1</v>
      </c>
      <c r="Q166" s="18">
        <v>4</v>
      </c>
      <c r="R166" s="18">
        <v>4</v>
      </c>
      <c r="S166" s="18">
        <v>6</v>
      </c>
      <c r="T166" s="18">
        <v>2</v>
      </c>
      <c r="U166" s="18">
        <v>4</v>
      </c>
      <c r="V166" s="18">
        <v>4</v>
      </c>
      <c r="W166" s="18">
        <f t="shared" si="4"/>
        <v>25</v>
      </c>
      <c r="X166" s="16">
        <v>3022</v>
      </c>
      <c r="Y166" s="12">
        <v>33</v>
      </c>
      <c r="Z166" s="12">
        <v>0</v>
      </c>
      <c r="AA166" s="13">
        <v>2</v>
      </c>
      <c r="AB166" s="14" t="e">
        <v>#N/A</v>
      </c>
      <c r="AC166" s="14" t="e">
        <v>#N/A</v>
      </c>
      <c r="AD166" s="15"/>
      <c r="AE166" s="18"/>
      <c r="AF166" s="19"/>
      <c r="AG166" s="18"/>
      <c r="AH166" s="18"/>
      <c r="AI166" s="18"/>
      <c r="AJ166" s="18"/>
      <c r="AK166" s="18"/>
      <c r="AL166" s="18">
        <v>8</v>
      </c>
      <c r="AM166" s="18"/>
      <c r="AN166" s="18">
        <v>8</v>
      </c>
      <c r="AO166" s="18"/>
      <c r="AP166" s="18">
        <v>8</v>
      </c>
      <c r="AQ166" s="18"/>
      <c r="AR166" s="18">
        <v>1</v>
      </c>
      <c r="AS166" s="18"/>
      <c r="AT166" s="18"/>
      <c r="AU166" s="18"/>
      <c r="AV166" s="18"/>
      <c r="AW166" s="18"/>
      <c r="AX166" s="18"/>
      <c r="AY166" s="18"/>
      <c r="AZ166" s="18"/>
      <c r="BA166" s="18"/>
      <c r="BB166" s="18">
        <f t="shared" si="5"/>
        <v>25</v>
      </c>
    </row>
    <row r="167" spans="1:54" x14ac:dyDescent="0.3">
      <c r="A167" s="17" t="s">
        <v>269</v>
      </c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9"/>
      <c r="M167" s="18"/>
      <c r="N167" s="18"/>
      <c r="O167" s="18"/>
      <c r="P167" s="18"/>
      <c r="Q167" s="18"/>
      <c r="R167" s="18"/>
      <c r="S167" s="18"/>
      <c r="T167" s="18">
        <v>1</v>
      </c>
      <c r="U167" s="18">
        <v>2</v>
      </c>
      <c r="V167" s="18">
        <v>2</v>
      </c>
      <c r="W167" s="18">
        <f t="shared" si="4"/>
        <v>5</v>
      </c>
      <c r="X167" s="16">
        <v>3022</v>
      </c>
      <c r="Y167" s="12">
        <v>19</v>
      </c>
      <c r="Z167" s="12">
        <v>0</v>
      </c>
      <c r="AA167" s="13">
        <v>2</v>
      </c>
      <c r="AB167" s="14" t="e">
        <v>#N/A</v>
      </c>
      <c r="AC167" s="14" t="e">
        <v>#N/A</v>
      </c>
      <c r="AD167" s="15"/>
      <c r="AE167" s="18"/>
      <c r="AF167" s="19"/>
      <c r="AG167" s="18"/>
      <c r="AH167" s="18"/>
      <c r="AI167" s="18"/>
      <c r="AJ167" s="18"/>
      <c r="AK167" s="18"/>
      <c r="AL167" s="18"/>
      <c r="AM167" s="18"/>
      <c r="AN167" s="18">
        <v>2</v>
      </c>
      <c r="AO167" s="18">
        <v>3</v>
      </c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>
        <f t="shared" si="5"/>
        <v>5</v>
      </c>
    </row>
    <row r="168" spans="1:54" x14ac:dyDescent="0.3">
      <c r="A168" s="17" t="s">
        <v>128</v>
      </c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9"/>
      <c r="M168" s="18"/>
      <c r="N168" s="18"/>
      <c r="O168" s="18"/>
      <c r="P168" s="18"/>
      <c r="Q168" s="18"/>
      <c r="R168" s="18"/>
      <c r="S168" s="18">
        <v>9</v>
      </c>
      <c r="T168" s="18">
        <v>4</v>
      </c>
      <c r="U168" s="18">
        <v>8</v>
      </c>
      <c r="V168" s="18">
        <v>8</v>
      </c>
      <c r="W168" s="18">
        <f t="shared" si="4"/>
        <v>29</v>
      </c>
      <c r="X168" s="16">
        <v>3023</v>
      </c>
      <c r="Y168" s="12">
        <v>40</v>
      </c>
      <c r="Z168" s="12">
        <v>0</v>
      </c>
      <c r="AA168" s="13">
        <v>4</v>
      </c>
      <c r="AB168" s="14" t="e">
        <v>#N/A</v>
      </c>
      <c r="AC168" s="14" t="e">
        <v>#N/A</v>
      </c>
      <c r="AD168" s="15"/>
      <c r="AE168" s="18"/>
      <c r="AF168" s="19"/>
      <c r="AG168" s="18"/>
      <c r="AH168" s="18"/>
      <c r="AI168" s="18"/>
      <c r="AJ168" s="18"/>
      <c r="AK168" s="18"/>
      <c r="AL168" s="18"/>
      <c r="AM168" s="18">
        <v>16</v>
      </c>
      <c r="AN168" s="18"/>
      <c r="AO168" s="18">
        <v>8</v>
      </c>
      <c r="AP168" s="18">
        <v>5</v>
      </c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>
        <f t="shared" si="5"/>
        <v>29</v>
      </c>
    </row>
    <row r="169" spans="1:54" x14ac:dyDescent="0.3">
      <c r="A169" s="17" t="s">
        <v>270</v>
      </c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9"/>
      <c r="M169" s="18"/>
      <c r="N169" s="18"/>
      <c r="O169" s="18"/>
      <c r="P169" s="18"/>
      <c r="Q169" s="18"/>
      <c r="R169" s="18">
        <v>1</v>
      </c>
      <c r="S169" s="18">
        <v>4</v>
      </c>
      <c r="T169" s="18">
        <v>4</v>
      </c>
      <c r="U169" s="18">
        <v>4</v>
      </c>
      <c r="V169" s="18">
        <v>4</v>
      </c>
      <c r="W169" s="18">
        <f t="shared" si="4"/>
        <v>17</v>
      </c>
      <c r="X169" s="16">
        <v>3023</v>
      </c>
      <c r="Y169" s="12">
        <v>35</v>
      </c>
      <c r="Z169" s="12">
        <v>0</v>
      </c>
      <c r="AA169" s="13">
        <v>2</v>
      </c>
      <c r="AB169" s="14" t="e">
        <v>#N/A</v>
      </c>
      <c r="AC169" s="14" t="e">
        <v>#N/A</v>
      </c>
      <c r="AD169" s="15"/>
      <c r="AE169" s="18"/>
      <c r="AF169" s="19"/>
      <c r="AG169" s="18"/>
      <c r="AH169" s="18"/>
      <c r="AI169" s="18"/>
      <c r="AJ169" s="18"/>
      <c r="AK169" s="18"/>
      <c r="AL169" s="18">
        <v>1</v>
      </c>
      <c r="AM169" s="18">
        <v>12</v>
      </c>
      <c r="AN169" s="18"/>
      <c r="AO169" s="18"/>
      <c r="AP169" s="18">
        <v>4</v>
      </c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>
        <f t="shared" si="5"/>
        <v>17</v>
      </c>
    </row>
    <row r="170" spans="1:54" x14ac:dyDescent="0.3">
      <c r="A170" s="17" t="s">
        <v>271</v>
      </c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9"/>
      <c r="M170" s="18"/>
      <c r="N170" s="18"/>
      <c r="O170" s="18"/>
      <c r="P170" s="18"/>
      <c r="Q170" s="18"/>
      <c r="R170" s="18">
        <v>2</v>
      </c>
      <c r="S170" s="18">
        <v>4</v>
      </c>
      <c r="T170" s="18">
        <v>4</v>
      </c>
      <c r="U170" s="18">
        <v>4</v>
      </c>
      <c r="V170" s="18">
        <v>4</v>
      </c>
      <c r="W170" s="18">
        <f t="shared" si="4"/>
        <v>18</v>
      </c>
      <c r="X170" s="16">
        <v>3023</v>
      </c>
      <c r="Y170" s="12">
        <v>34</v>
      </c>
      <c r="Z170" s="12">
        <v>0</v>
      </c>
      <c r="AA170" s="13">
        <v>2</v>
      </c>
      <c r="AB170" s="14" t="e">
        <v>#N/A</v>
      </c>
      <c r="AC170" s="14" t="e">
        <v>#N/A</v>
      </c>
      <c r="AD170" s="15"/>
      <c r="AE170" s="18"/>
      <c r="AF170" s="19"/>
      <c r="AG170" s="18"/>
      <c r="AH170" s="18"/>
      <c r="AI170" s="18"/>
      <c r="AJ170" s="18"/>
      <c r="AK170" s="18"/>
      <c r="AL170" s="18">
        <v>2</v>
      </c>
      <c r="AM170" s="18">
        <v>12</v>
      </c>
      <c r="AN170" s="18"/>
      <c r="AO170" s="18"/>
      <c r="AP170" s="18">
        <v>4</v>
      </c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>
        <f t="shared" si="5"/>
        <v>18</v>
      </c>
    </row>
    <row r="171" spans="1:54" x14ac:dyDescent="0.3">
      <c r="A171" s="17" t="s">
        <v>272</v>
      </c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9"/>
      <c r="M171" s="18"/>
      <c r="N171" s="18"/>
      <c r="O171" s="18"/>
      <c r="P171" s="18"/>
      <c r="Q171" s="18">
        <v>24</v>
      </c>
      <c r="R171" s="18">
        <v>24</v>
      </c>
      <c r="S171" s="18">
        <v>36</v>
      </c>
      <c r="T171" s="18">
        <v>12</v>
      </c>
      <c r="U171" s="18">
        <v>24</v>
      </c>
      <c r="V171" s="18">
        <v>24</v>
      </c>
      <c r="W171" s="18">
        <f t="shared" si="4"/>
        <v>144</v>
      </c>
      <c r="X171" s="16">
        <v>3023</v>
      </c>
      <c r="Y171" s="12">
        <v>204</v>
      </c>
      <c r="Z171" s="12">
        <v>0</v>
      </c>
      <c r="AA171" s="13">
        <v>12</v>
      </c>
      <c r="AB171" s="14" t="e">
        <v>#N/A</v>
      </c>
      <c r="AC171" s="14" t="e">
        <v>#N/A</v>
      </c>
      <c r="AD171" s="15"/>
      <c r="AE171" s="18"/>
      <c r="AF171" s="19"/>
      <c r="AG171" s="18"/>
      <c r="AH171" s="18"/>
      <c r="AI171" s="18"/>
      <c r="AJ171" s="18"/>
      <c r="AK171" s="18">
        <v>60</v>
      </c>
      <c r="AL171" s="18"/>
      <c r="AM171" s="18">
        <v>48</v>
      </c>
      <c r="AN171" s="18"/>
      <c r="AO171" s="18">
        <v>36</v>
      </c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>
        <f t="shared" si="5"/>
        <v>144</v>
      </c>
    </row>
    <row r="172" spans="1:54" x14ac:dyDescent="0.3">
      <c r="A172" s="17" t="s">
        <v>273</v>
      </c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9"/>
      <c r="M172" s="18"/>
      <c r="N172" s="18"/>
      <c r="O172" s="18"/>
      <c r="P172" s="18">
        <v>1</v>
      </c>
      <c r="Q172" s="18">
        <v>2</v>
      </c>
      <c r="R172" s="18">
        <v>2</v>
      </c>
      <c r="S172" s="18">
        <v>3</v>
      </c>
      <c r="T172" s="18">
        <v>1</v>
      </c>
      <c r="U172" s="18">
        <v>2</v>
      </c>
      <c r="V172" s="18">
        <v>2</v>
      </c>
      <c r="W172" s="18">
        <f t="shared" si="4"/>
        <v>13</v>
      </c>
      <c r="X172" s="16">
        <v>3023</v>
      </c>
      <c r="Y172" s="12">
        <v>17</v>
      </c>
      <c r="Z172" s="12">
        <v>0</v>
      </c>
      <c r="AA172" s="13">
        <v>1</v>
      </c>
      <c r="AB172" s="14" t="e">
        <v>#N/A</v>
      </c>
      <c r="AC172" s="14" t="e">
        <v>#N/A</v>
      </c>
      <c r="AD172" s="15"/>
      <c r="AE172" s="18"/>
      <c r="AF172" s="19"/>
      <c r="AG172" s="18"/>
      <c r="AH172" s="18"/>
      <c r="AI172" s="18"/>
      <c r="AJ172" s="18"/>
      <c r="AK172" s="18"/>
      <c r="AL172" s="18"/>
      <c r="AM172" s="18">
        <v>13</v>
      </c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>
        <f t="shared" si="5"/>
        <v>13</v>
      </c>
    </row>
    <row r="173" spans="1:54" x14ac:dyDescent="0.3">
      <c r="A173" s="17" t="s">
        <v>275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9"/>
      <c r="M173" s="18"/>
      <c r="N173" s="18"/>
      <c r="O173" s="18"/>
      <c r="P173" s="18">
        <v>2</v>
      </c>
      <c r="Q173" s="18">
        <v>2</v>
      </c>
      <c r="R173" s="18">
        <v>2</v>
      </c>
      <c r="S173" s="18">
        <v>2</v>
      </c>
      <c r="T173" s="18">
        <v>2</v>
      </c>
      <c r="U173" s="18">
        <v>2</v>
      </c>
      <c r="V173" s="18">
        <v>2</v>
      </c>
      <c r="W173" s="18">
        <f t="shared" si="4"/>
        <v>14</v>
      </c>
      <c r="X173" s="16">
        <v>3023</v>
      </c>
      <c r="Y173" s="12">
        <v>17</v>
      </c>
      <c r="Z173" s="12">
        <v>0</v>
      </c>
      <c r="AA173" s="13">
        <v>1</v>
      </c>
      <c r="AB173" s="14" t="e">
        <v>#N/A</v>
      </c>
      <c r="AC173" s="14" t="e">
        <v>#N/A</v>
      </c>
      <c r="AD173" s="15"/>
      <c r="AE173" s="18"/>
      <c r="AF173" s="19"/>
      <c r="AG173" s="18"/>
      <c r="AH173" s="18"/>
      <c r="AI173" s="18"/>
      <c r="AJ173" s="18">
        <v>8</v>
      </c>
      <c r="AK173" s="18"/>
      <c r="AL173" s="18"/>
      <c r="AM173" s="18"/>
      <c r="AN173" s="18"/>
      <c r="AO173" s="18"/>
      <c r="AP173" s="18">
        <v>6</v>
      </c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>
        <f t="shared" si="5"/>
        <v>14</v>
      </c>
    </row>
    <row r="174" spans="1:54" x14ac:dyDescent="0.3">
      <c r="A174" s="17" t="s">
        <v>276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9"/>
      <c r="M174" s="18"/>
      <c r="N174" s="18"/>
      <c r="O174" s="18"/>
      <c r="P174" s="18"/>
      <c r="Q174" s="18"/>
      <c r="R174" s="18"/>
      <c r="S174" s="18">
        <v>3</v>
      </c>
      <c r="T174" s="18">
        <v>1</v>
      </c>
      <c r="U174" s="18">
        <v>2</v>
      </c>
      <c r="V174" s="18">
        <v>2</v>
      </c>
      <c r="W174" s="18">
        <f t="shared" si="4"/>
        <v>8</v>
      </c>
      <c r="X174" s="16">
        <v>3023</v>
      </c>
      <c r="Y174" s="12">
        <v>17</v>
      </c>
      <c r="Z174" s="12">
        <v>0</v>
      </c>
      <c r="AA174" s="13">
        <v>1</v>
      </c>
      <c r="AB174" s="14" t="e">
        <v>#N/A</v>
      </c>
      <c r="AC174" s="14" t="e">
        <v>#N/A</v>
      </c>
      <c r="AD174" s="15"/>
      <c r="AE174" s="18"/>
      <c r="AF174" s="19"/>
      <c r="AG174" s="18"/>
      <c r="AH174" s="18"/>
      <c r="AI174" s="18">
        <v>1</v>
      </c>
      <c r="AJ174" s="18">
        <v>4</v>
      </c>
      <c r="AK174" s="18"/>
      <c r="AL174" s="18"/>
      <c r="AM174" s="18"/>
      <c r="AN174" s="18"/>
      <c r="AO174" s="18">
        <v>3</v>
      </c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>
        <f t="shared" si="5"/>
        <v>8</v>
      </c>
    </row>
    <row r="175" spans="1:54" x14ac:dyDescent="0.3">
      <c r="A175" s="17" t="s">
        <v>277</v>
      </c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9"/>
      <c r="M175" s="18"/>
      <c r="N175" s="18"/>
      <c r="O175" s="18"/>
      <c r="P175" s="18">
        <v>2</v>
      </c>
      <c r="Q175" s="18">
        <v>2</v>
      </c>
      <c r="R175" s="18">
        <v>2</v>
      </c>
      <c r="S175" s="18">
        <v>2</v>
      </c>
      <c r="T175" s="18">
        <v>2</v>
      </c>
      <c r="U175" s="18">
        <v>2</v>
      </c>
      <c r="V175" s="18">
        <v>2</v>
      </c>
      <c r="W175" s="18">
        <f t="shared" si="4"/>
        <v>14</v>
      </c>
      <c r="X175" s="16">
        <v>3023</v>
      </c>
      <c r="Y175" s="12">
        <v>17</v>
      </c>
      <c r="Z175" s="12">
        <v>0</v>
      </c>
      <c r="AA175" s="13">
        <v>1</v>
      </c>
      <c r="AB175" s="14" t="e">
        <v>#N/A</v>
      </c>
      <c r="AC175" s="14" t="e">
        <v>#N/A</v>
      </c>
      <c r="AD175" s="15"/>
      <c r="AE175" s="18"/>
      <c r="AF175" s="19"/>
      <c r="AG175" s="18"/>
      <c r="AH175" s="18"/>
      <c r="AI175" s="18">
        <v>3</v>
      </c>
      <c r="AJ175" s="18"/>
      <c r="AK175" s="18"/>
      <c r="AL175" s="18">
        <v>11</v>
      </c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>
        <f t="shared" si="5"/>
        <v>14</v>
      </c>
    </row>
    <row r="176" spans="1:54" x14ac:dyDescent="0.3">
      <c r="A176" s="17" t="s">
        <v>279</v>
      </c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9"/>
      <c r="M176" s="18"/>
      <c r="N176" s="18"/>
      <c r="O176" s="18"/>
      <c r="P176" s="18"/>
      <c r="Q176" s="18"/>
      <c r="R176" s="18"/>
      <c r="S176" s="18">
        <v>3</v>
      </c>
      <c r="T176" s="18">
        <v>1</v>
      </c>
      <c r="U176" s="18">
        <v>2</v>
      </c>
      <c r="V176" s="18">
        <v>2</v>
      </c>
      <c r="W176" s="18">
        <f t="shared" si="4"/>
        <v>8</v>
      </c>
      <c r="X176" s="16">
        <v>3023</v>
      </c>
      <c r="Y176" s="12">
        <v>17</v>
      </c>
      <c r="Z176" s="12">
        <v>0</v>
      </c>
      <c r="AA176" s="13">
        <v>1</v>
      </c>
      <c r="AB176" s="14" t="e">
        <v>#N/A</v>
      </c>
      <c r="AC176" s="14" t="e">
        <v>#N/A</v>
      </c>
      <c r="AD176" s="15"/>
      <c r="AE176" s="18"/>
      <c r="AF176" s="19"/>
      <c r="AG176" s="18"/>
      <c r="AH176" s="18"/>
      <c r="AI176" s="18"/>
      <c r="AJ176" s="18"/>
      <c r="AK176" s="18"/>
      <c r="AL176" s="18"/>
      <c r="AM176" s="18">
        <v>4</v>
      </c>
      <c r="AN176" s="18"/>
      <c r="AO176" s="18">
        <v>4</v>
      </c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>
        <f t="shared" si="5"/>
        <v>8</v>
      </c>
    </row>
    <row r="177" spans="1:54" x14ac:dyDescent="0.3">
      <c r="A177" s="17" t="s">
        <v>280</v>
      </c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9"/>
      <c r="M177" s="18"/>
      <c r="N177" s="18"/>
      <c r="O177" s="18"/>
      <c r="P177" s="18"/>
      <c r="Q177" s="18"/>
      <c r="R177" s="18">
        <v>1</v>
      </c>
      <c r="S177" s="18">
        <v>16</v>
      </c>
      <c r="T177" s="18">
        <v>16</v>
      </c>
      <c r="U177" s="18">
        <v>16</v>
      </c>
      <c r="V177" s="18">
        <v>16</v>
      </c>
      <c r="W177" s="18">
        <f t="shared" si="4"/>
        <v>65</v>
      </c>
      <c r="X177" s="16">
        <v>3023</v>
      </c>
      <c r="Y177" s="12">
        <v>143</v>
      </c>
      <c r="Z177" s="12">
        <v>0</v>
      </c>
      <c r="AA177" s="13">
        <v>8</v>
      </c>
      <c r="AB177" s="14" t="e">
        <v>#N/A</v>
      </c>
      <c r="AC177" s="14" t="e">
        <v>#N/A</v>
      </c>
      <c r="AD177" s="15"/>
      <c r="AE177" s="18"/>
      <c r="AF177" s="19"/>
      <c r="AG177" s="18"/>
      <c r="AH177" s="18"/>
      <c r="AI177" s="18"/>
      <c r="AJ177" s="18"/>
      <c r="AK177" s="18"/>
      <c r="AL177" s="18">
        <v>32</v>
      </c>
      <c r="AM177" s="18"/>
      <c r="AN177" s="18">
        <v>32</v>
      </c>
      <c r="AO177" s="18"/>
      <c r="AP177" s="18">
        <v>1</v>
      </c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>
        <f t="shared" si="5"/>
        <v>65</v>
      </c>
    </row>
    <row r="178" spans="1:54" x14ac:dyDescent="0.3">
      <c r="A178" s="17" t="s">
        <v>281</v>
      </c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9"/>
      <c r="M178" s="18"/>
      <c r="N178" s="18"/>
      <c r="O178" s="18"/>
      <c r="P178" s="18">
        <v>2</v>
      </c>
      <c r="Q178" s="18">
        <v>4</v>
      </c>
      <c r="R178" s="18">
        <v>4</v>
      </c>
      <c r="S178" s="18">
        <v>4</v>
      </c>
      <c r="T178" s="18">
        <v>4</v>
      </c>
      <c r="U178" s="18">
        <v>4</v>
      </c>
      <c r="V178" s="18">
        <v>4</v>
      </c>
      <c r="W178" s="18">
        <f t="shared" si="4"/>
        <v>26</v>
      </c>
      <c r="X178" s="16">
        <v>3023</v>
      </c>
      <c r="Y178" s="12">
        <v>34</v>
      </c>
      <c r="Z178" s="12">
        <v>0</v>
      </c>
      <c r="AA178" s="13">
        <v>2</v>
      </c>
      <c r="AB178" s="14" t="e">
        <v>#N/A</v>
      </c>
      <c r="AC178" s="14" t="e">
        <v>#N/A</v>
      </c>
      <c r="AD178" s="15"/>
      <c r="AE178" s="18"/>
      <c r="AF178" s="19"/>
      <c r="AG178" s="18"/>
      <c r="AH178" s="18">
        <v>8</v>
      </c>
      <c r="AI178" s="18"/>
      <c r="AJ178" s="18"/>
      <c r="AK178" s="18"/>
      <c r="AL178" s="18">
        <v>8</v>
      </c>
      <c r="AM178" s="18"/>
      <c r="AN178" s="18">
        <v>8</v>
      </c>
      <c r="AO178" s="18"/>
      <c r="AP178" s="18">
        <v>2</v>
      </c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>
        <f t="shared" si="5"/>
        <v>26</v>
      </c>
    </row>
    <row r="179" spans="1:54" x14ac:dyDescent="0.3">
      <c r="A179" s="17" t="s">
        <v>282</v>
      </c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9"/>
      <c r="M179" s="18"/>
      <c r="N179" s="18"/>
      <c r="O179" s="18">
        <v>1</v>
      </c>
      <c r="P179" s="18">
        <v>2</v>
      </c>
      <c r="Q179" s="18">
        <v>2</v>
      </c>
      <c r="R179" s="18">
        <v>2</v>
      </c>
      <c r="S179" s="18">
        <v>2</v>
      </c>
      <c r="T179" s="18">
        <v>2</v>
      </c>
      <c r="U179" s="18">
        <v>2</v>
      </c>
      <c r="V179" s="18">
        <v>2</v>
      </c>
      <c r="W179" s="18">
        <f t="shared" si="4"/>
        <v>15</v>
      </c>
      <c r="X179" s="16">
        <v>3023</v>
      </c>
      <c r="Y179" s="12">
        <v>17</v>
      </c>
      <c r="Z179" s="12">
        <v>0</v>
      </c>
      <c r="AA179" s="13">
        <v>1</v>
      </c>
      <c r="AB179" s="14" t="e">
        <v>#N/A</v>
      </c>
      <c r="AC179" s="14" t="e">
        <v>#N/A</v>
      </c>
      <c r="AD179" s="15"/>
      <c r="AE179" s="18"/>
      <c r="AF179" s="19"/>
      <c r="AG179" s="18"/>
      <c r="AH179" s="18"/>
      <c r="AI179" s="18"/>
      <c r="AJ179" s="18"/>
      <c r="AK179" s="18"/>
      <c r="AL179" s="18">
        <v>12</v>
      </c>
      <c r="AM179" s="18"/>
      <c r="AN179" s="18"/>
      <c r="AO179" s="18"/>
      <c r="AP179" s="18"/>
      <c r="AQ179" s="18"/>
      <c r="AR179" s="18">
        <v>3</v>
      </c>
      <c r="AS179" s="18"/>
      <c r="AT179" s="18"/>
      <c r="AU179" s="18"/>
      <c r="AV179" s="18"/>
      <c r="AW179" s="18"/>
      <c r="AX179" s="18"/>
      <c r="AY179" s="18"/>
      <c r="AZ179" s="18"/>
      <c r="BA179" s="18"/>
      <c r="BB179" s="18">
        <f t="shared" si="5"/>
        <v>15</v>
      </c>
    </row>
    <row r="180" spans="1:54" x14ac:dyDescent="0.3">
      <c r="A180" s="17" t="s">
        <v>283</v>
      </c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9"/>
      <c r="M180" s="18"/>
      <c r="N180" s="18"/>
      <c r="O180" s="18"/>
      <c r="P180" s="18"/>
      <c r="Q180" s="18"/>
      <c r="R180" s="18"/>
      <c r="S180" s="18">
        <v>2</v>
      </c>
      <c r="T180" s="18">
        <v>2</v>
      </c>
      <c r="U180" s="18">
        <v>2</v>
      </c>
      <c r="V180" s="18">
        <v>2</v>
      </c>
      <c r="W180" s="18">
        <f t="shared" si="4"/>
        <v>8</v>
      </c>
      <c r="X180" s="16">
        <v>3024</v>
      </c>
      <c r="Y180" s="12">
        <v>18</v>
      </c>
      <c r="Z180" s="12">
        <v>0</v>
      </c>
      <c r="AA180" s="13">
        <v>1</v>
      </c>
      <c r="AB180" s="14" t="e">
        <v>#N/A</v>
      </c>
      <c r="AC180" s="14" t="e">
        <v>#N/A</v>
      </c>
      <c r="AD180" s="15"/>
      <c r="AE180" s="18"/>
      <c r="AF180" s="19"/>
      <c r="AG180" s="18"/>
      <c r="AH180" s="18"/>
      <c r="AI180" s="18"/>
      <c r="AJ180" s="18"/>
      <c r="AK180" s="18"/>
      <c r="AL180" s="18"/>
      <c r="AM180" s="18">
        <v>6</v>
      </c>
      <c r="AN180" s="18"/>
      <c r="AO180" s="18"/>
      <c r="AP180" s="18">
        <v>2</v>
      </c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>
        <f t="shared" si="5"/>
        <v>8</v>
      </c>
    </row>
    <row r="181" spans="1:54" x14ac:dyDescent="0.3">
      <c r="A181" s="17" t="s">
        <v>284</v>
      </c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9"/>
      <c r="M181" s="18"/>
      <c r="N181" s="18"/>
      <c r="O181" s="18"/>
      <c r="P181" s="18"/>
      <c r="Q181" s="18"/>
      <c r="R181" s="18"/>
      <c r="S181" s="18">
        <v>2</v>
      </c>
      <c r="T181" s="18">
        <v>2</v>
      </c>
      <c r="U181" s="18">
        <v>2</v>
      </c>
      <c r="V181" s="18">
        <v>2</v>
      </c>
      <c r="W181" s="18">
        <f t="shared" si="4"/>
        <v>8</v>
      </c>
      <c r="X181" s="16">
        <v>3024</v>
      </c>
      <c r="Y181" s="12">
        <v>21</v>
      </c>
      <c r="Z181" s="12">
        <v>0</v>
      </c>
      <c r="AA181" s="13">
        <v>1</v>
      </c>
      <c r="AB181" s="14" t="e">
        <v>#N/A</v>
      </c>
      <c r="AC181" s="14" t="e">
        <v>#N/A</v>
      </c>
      <c r="AD181" s="15"/>
      <c r="AE181" s="18"/>
      <c r="AF181" s="19"/>
      <c r="AG181" s="18"/>
      <c r="AH181" s="18"/>
      <c r="AI181" s="18"/>
      <c r="AJ181" s="18"/>
      <c r="AK181" s="18"/>
      <c r="AL181" s="18"/>
      <c r="AM181" s="18">
        <v>4</v>
      </c>
      <c r="AN181" s="18"/>
      <c r="AO181" s="18">
        <v>4</v>
      </c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>
        <f t="shared" si="5"/>
        <v>8</v>
      </c>
    </row>
    <row r="182" spans="1:54" x14ac:dyDescent="0.3">
      <c r="A182" s="17" t="s">
        <v>285</v>
      </c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9"/>
      <c r="M182" s="18"/>
      <c r="N182" s="18"/>
      <c r="O182" s="18"/>
      <c r="P182" s="18"/>
      <c r="Q182" s="18"/>
      <c r="R182" s="18"/>
      <c r="S182" s="18">
        <v>2</v>
      </c>
      <c r="T182" s="18">
        <v>2</v>
      </c>
      <c r="U182" s="18">
        <v>2</v>
      </c>
      <c r="V182" s="18">
        <v>2</v>
      </c>
      <c r="W182" s="18">
        <f t="shared" si="4"/>
        <v>8</v>
      </c>
      <c r="X182" s="16">
        <v>3024</v>
      </c>
      <c r="Y182" s="12">
        <v>21</v>
      </c>
      <c r="Z182" s="12">
        <v>0</v>
      </c>
      <c r="AA182" s="13">
        <v>1</v>
      </c>
      <c r="AB182" s="14" t="e">
        <v>#N/A</v>
      </c>
      <c r="AC182" s="14" t="e">
        <v>#N/A</v>
      </c>
      <c r="AD182" s="15"/>
      <c r="AE182" s="18"/>
      <c r="AF182" s="19"/>
      <c r="AG182" s="18"/>
      <c r="AH182" s="18"/>
      <c r="AI182" s="18"/>
      <c r="AJ182" s="18"/>
      <c r="AK182" s="18"/>
      <c r="AL182" s="18"/>
      <c r="AM182" s="18">
        <v>4</v>
      </c>
      <c r="AN182" s="18"/>
      <c r="AO182" s="18">
        <v>4</v>
      </c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>
        <f t="shared" si="5"/>
        <v>8</v>
      </c>
    </row>
    <row r="183" spans="1:54" x14ac:dyDescent="0.3">
      <c r="A183" s="17" t="s">
        <v>286</v>
      </c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9"/>
      <c r="M183" s="18"/>
      <c r="N183" s="18"/>
      <c r="O183" s="18"/>
      <c r="P183" s="18"/>
      <c r="Q183" s="18"/>
      <c r="R183" s="18"/>
      <c r="S183" s="18">
        <v>2</v>
      </c>
      <c r="T183" s="18">
        <v>2</v>
      </c>
      <c r="U183" s="18">
        <v>2</v>
      </c>
      <c r="V183" s="18">
        <v>2</v>
      </c>
      <c r="W183" s="18">
        <f t="shared" si="4"/>
        <v>8</v>
      </c>
      <c r="X183" s="16">
        <v>3024</v>
      </c>
      <c r="Y183" s="12">
        <v>21</v>
      </c>
      <c r="Z183" s="12">
        <v>0</v>
      </c>
      <c r="AA183" s="13">
        <v>1</v>
      </c>
      <c r="AB183" s="14" t="e">
        <v>#N/A</v>
      </c>
      <c r="AC183" s="14" t="e">
        <v>#N/A</v>
      </c>
      <c r="AD183" s="15"/>
      <c r="AE183" s="18"/>
      <c r="AF183" s="19"/>
      <c r="AG183" s="18"/>
      <c r="AH183" s="18"/>
      <c r="AI183" s="18"/>
      <c r="AJ183" s="18"/>
      <c r="AK183" s="18"/>
      <c r="AL183" s="18"/>
      <c r="AM183" s="18">
        <v>4</v>
      </c>
      <c r="AN183" s="18"/>
      <c r="AO183" s="18">
        <v>4</v>
      </c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>
        <f t="shared" si="5"/>
        <v>8</v>
      </c>
    </row>
    <row r="184" spans="1:54" x14ac:dyDescent="0.3">
      <c r="A184" s="17" t="s">
        <v>287</v>
      </c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9"/>
      <c r="M184" s="18"/>
      <c r="N184" s="18"/>
      <c r="O184" s="18"/>
      <c r="P184" s="18"/>
      <c r="Q184" s="18">
        <v>1</v>
      </c>
      <c r="R184" s="18">
        <v>2</v>
      </c>
      <c r="S184" s="18">
        <v>3</v>
      </c>
      <c r="T184" s="18">
        <v>1</v>
      </c>
      <c r="U184" s="18">
        <v>2</v>
      </c>
      <c r="V184" s="18">
        <v>2</v>
      </c>
      <c r="W184" s="18">
        <f t="shared" si="4"/>
        <v>11</v>
      </c>
      <c r="X184" s="16">
        <v>3024</v>
      </c>
      <c r="Y184" s="12">
        <v>18</v>
      </c>
      <c r="Z184" s="12">
        <v>0</v>
      </c>
      <c r="AA184" s="13">
        <v>1</v>
      </c>
      <c r="AB184" s="14" t="e">
        <v>#N/A</v>
      </c>
      <c r="AC184" s="14" t="e">
        <v>#N/A</v>
      </c>
      <c r="AD184" s="15"/>
      <c r="AE184" s="18"/>
      <c r="AF184" s="19"/>
      <c r="AG184" s="18"/>
      <c r="AH184" s="18"/>
      <c r="AI184" s="18"/>
      <c r="AJ184" s="18"/>
      <c r="AK184" s="18">
        <v>4</v>
      </c>
      <c r="AL184" s="18"/>
      <c r="AM184" s="18">
        <v>4</v>
      </c>
      <c r="AN184" s="18"/>
      <c r="AO184" s="18">
        <v>3</v>
      </c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>
        <f t="shared" si="5"/>
        <v>11</v>
      </c>
    </row>
    <row r="185" spans="1:54" x14ac:dyDescent="0.3">
      <c r="A185" s="17" t="s">
        <v>288</v>
      </c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9"/>
      <c r="M185" s="18"/>
      <c r="N185" s="18"/>
      <c r="O185" s="18"/>
      <c r="P185" s="18"/>
      <c r="Q185" s="18">
        <v>1</v>
      </c>
      <c r="R185" s="18">
        <v>2</v>
      </c>
      <c r="S185" s="18">
        <v>3</v>
      </c>
      <c r="T185" s="18">
        <v>1</v>
      </c>
      <c r="U185" s="18">
        <v>2</v>
      </c>
      <c r="V185" s="18">
        <v>2</v>
      </c>
      <c r="W185" s="18">
        <f t="shared" si="4"/>
        <v>11</v>
      </c>
      <c r="X185" s="16">
        <v>3024</v>
      </c>
      <c r="Y185" s="12">
        <v>18</v>
      </c>
      <c r="Z185" s="12">
        <v>0</v>
      </c>
      <c r="AA185" s="13">
        <v>1</v>
      </c>
      <c r="AB185" s="14" t="e">
        <v>#N/A</v>
      </c>
      <c r="AC185" s="14" t="e">
        <v>#N/A</v>
      </c>
      <c r="AD185" s="15"/>
      <c r="AE185" s="18"/>
      <c r="AF185" s="19"/>
      <c r="AG185" s="18"/>
      <c r="AH185" s="18"/>
      <c r="AI185" s="18"/>
      <c r="AJ185" s="18"/>
      <c r="AK185" s="18"/>
      <c r="AL185" s="18"/>
      <c r="AM185" s="18">
        <v>1</v>
      </c>
      <c r="AN185" s="18">
        <v>10</v>
      </c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>
        <f t="shared" si="5"/>
        <v>11</v>
      </c>
    </row>
    <row r="186" spans="1:54" x14ac:dyDescent="0.3">
      <c r="A186" s="17" t="s">
        <v>289</v>
      </c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9"/>
      <c r="M186" s="18"/>
      <c r="N186" s="18"/>
      <c r="O186" s="18"/>
      <c r="P186" s="18"/>
      <c r="Q186" s="18"/>
      <c r="R186" s="18"/>
      <c r="S186" s="18">
        <v>4</v>
      </c>
      <c r="T186" s="18">
        <v>2</v>
      </c>
      <c r="U186" s="18">
        <v>4</v>
      </c>
      <c r="V186" s="18">
        <v>4</v>
      </c>
      <c r="W186" s="18">
        <f t="shared" si="4"/>
        <v>14</v>
      </c>
      <c r="X186" s="16">
        <v>3024</v>
      </c>
      <c r="Y186" s="12">
        <v>36</v>
      </c>
      <c r="Z186" s="12">
        <v>0</v>
      </c>
      <c r="AA186" s="13">
        <v>2</v>
      </c>
      <c r="AB186" s="14" t="e">
        <v>#N/A</v>
      </c>
      <c r="AC186" s="14" t="e">
        <v>#N/A</v>
      </c>
      <c r="AD186" s="15"/>
      <c r="AE186" s="18"/>
      <c r="AF186" s="19"/>
      <c r="AG186" s="18"/>
      <c r="AH186" s="18"/>
      <c r="AI186" s="18"/>
      <c r="AJ186" s="18"/>
      <c r="AK186" s="18"/>
      <c r="AL186" s="18"/>
      <c r="AM186" s="18">
        <v>8</v>
      </c>
      <c r="AN186" s="18"/>
      <c r="AO186" s="18">
        <v>6</v>
      </c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>
        <f t="shared" si="5"/>
        <v>14</v>
      </c>
    </row>
    <row r="187" spans="1:54" x14ac:dyDescent="0.3">
      <c r="A187" s="17" t="s">
        <v>290</v>
      </c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9"/>
      <c r="M187" s="18"/>
      <c r="N187" s="18"/>
      <c r="O187" s="18"/>
      <c r="P187" s="18"/>
      <c r="Q187" s="18"/>
      <c r="R187" s="18"/>
      <c r="S187" s="18">
        <v>8</v>
      </c>
      <c r="T187" s="18">
        <v>4</v>
      </c>
      <c r="U187" s="18">
        <v>8</v>
      </c>
      <c r="V187" s="18">
        <v>8</v>
      </c>
      <c r="W187" s="18">
        <f t="shared" si="4"/>
        <v>28</v>
      </c>
      <c r="X187" s="16">
        <v>3024</v>
      </c>
      <c r="Y187" s="12">
        <v>72</v>
      </c>
      <c r="Z187" s="12">
        <v>0</v>
      </c>
      <c r="AA187" s="13">
        <v>4</v>
      </c>
      <c r="AB187" s="14" t="e">
        <v>#N/A</v>
      </c>
      <c r="AC187" s="14" t="e">
        <v>#N/A</v>
      </c>
      <c r="AD187" s="15"/>
      <c r="AE187" s="18"/>
      <c r="AF187" s="19"/>
      <c r="AG187" s="18"/>
      <c r="AH187" s="18"/>
      <c r="AI187" s="18"/>
      <c r="AJ187" s="18"/>
      <c r="AK187" s="18"/>
      <c r="AL187" s="18"/>
      <c r="AM187" s="18">
        <v>24</v>
      </c>
      <c r="AN187" s="18"/>
      <c r="AO187" s="18"/>
      <c r="AP187" s="18">
        <v>4</v>
      </c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>
        <f t="shared" si="5"/>
        <v>28</v>
      </c>
    </row>
    <row r="188" spans="1:54" x14ac:dyDescent="0.3">
      <c r="A188" s="17" t="s">
        <v>291</v>
      </c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9"/>
      <c r="M188" s="18"/>
      <c r="N188" s="18"/>
      <c r="O188" s="18"/>
      <c r="P188" s="18"/>
      <c r="Q188" s="18"/>
      <c r="R188" s="18"/>
      <c r="S188" s="18">
        <v>2</v>
      </c>
      <c r="T188" s="18">
        <v>1</v>
      </c>
      <c r="U188" s="18">
        <v>2</v>
      </c>
      <c r="V188" s="18">
        <v>2</v>
      </c>
      <c r="W188" s="18">
        <f t="shared" si="4"/>
        <v>7</v>
      </c>
      <c r="X188" s="16">
        <v>3024</v>
      </c>
      <c r="Y188" s="12">
        <v>18</v>
      </c>
      <c r="Z188" s="12">
        <v>0</v>
      </c>
      <c r="AA188" s="13">
        <v>1</v>
      </c>
      <c r="AB188" s="14" t="e">
        <v>#N/A</v>
      </c>
      <c r="AC188" s="14" t="e">
        <v>#N/A</v>
      </c>
      <c r="AD188" s="15"/>
      <c r="AE188" s="18"/>
      <c r="AF188" s="19"/>
      <c r="AG188" s="18">
        <v>7</v>
      </c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>
        <f t="shared" si="5"/>
        <v>7</v>
      </c>
    </row>
    <row r="189" spans="1:54" x14ac:dyDescent="0.3">
      <c r="A189" s="17" t="s">
        <v>292</v>
      </c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9"/>
      <c r="M189" s="18"/>
      <c r="N189" s="18"/>
      <c r="O189" s="18"/>
      <c r="P189" s="18">
        <v>18</v>
      </c>
      <c r="Q189" s="18"/>
      <c r="R189" s="18"/>
      <c r="S189" s="18"/>
      <c r="T189" s="18"/>
      <c r="U189" s="18"/>
      <c r="V189" s="18"/>
      <c r="W189" s="18">
        <f t="shared" si="4"/>
        <v>18</v>
      </c>
      <c r="X189" s="16">
        <v>3024</v>
      </c>
      <c r="Y189" s="12">
        <v>0</v>
      </c>
      <c r="Z189" s="12">
        <v>0</v>
      </c>
      <c r="AA189" s="13">
        <v>1</v>
      </c>
      <c r="AB189" s="14" t="e">
        <v>#N/A</v>
      </c>
      <c r="AC189" s="14" t="e">
        <v>#N/A</v>
      </c>
      <c r="AD189" s="15"/>
      <c r="AE189" s="18"/>
      <c r="AF189" s="19"/>
      <c r="AG189" s="18">
        <v>17</v>
      </c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>
        <v>1</v>
      </c>
      <c r="AS189" s="18"/>
      <c r="AT189" s="18"/>
      <c r="AU189" s="18"/>
      <c r="AV189" s="18"/>
      <c r="AW189" s="18"/>
      <c r="AX189" s="18"/>
      <c r="AY189" s="18"/>
      <c r="AZ189" s="18"/>
      <c r="BA189" s="18"/>
      <c r="BB189" s="18">
        <f t="shared" si="5"/>
        <v>18</v>
      </c>
    </row>
    <row r="190" spans="1:54" x14ac:dyDescent="0.3">
      <c r="A190" s="17" t="s">
        <v>294</v>
      </c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9"/>
      <c r="M190" s="18"/>
      <c r="N190" s="18"/>
      <c r="O190" s="18"/>
      <c r="P190" s="18"/>
      <c r="Q190" s="18">
        <v>2</v>
      </c>
      <c r="R190" s="18">
        <v>2</v>
      </c>
      <c r="S190" s="18">
        <v>3</v>
      </c>
      <c r="T190" s="18">
        <v>1</v>
      </c>
      <c r="U190" s="18">
        <v>2</v>
      </c>
      <c r="V190" s="18">
        <v>2</v>
      </c>
      <c r="W190" s="18">
        <f t="shared" si="4"/>
        <v>12</v>
      </c>
      <c r="X190" s="16">
        <v>3024</v>
      </c>
      <c r="Y190" s="12">
        <v>18</v>
      </c>
      <c r="Z190" s="12">
        <v>0</v>
      </c>
      <c r="AA190" s="13">
        <v>1</v>
      </c>
      <c r="AB190" s="14" t="e">
        <v>#N/A</v>
      </c>
      <c r="AC190" s="14" t="e">
        <v>#N/A</v>
      </c>
      <c r="AD190" s="15"/>
      <c r="AE190" s="18"/>
      <c r="AF190" s="19"/>
      <c r="AG190" s="18"/>
      <c r="AH190" s="18"/>
      <c r="AI190" s="18"/>
      <c r="AJ190" s="18"/>
      <c r="AK190" s="18"/>
      <c r="AL190" s="18"/>
      <c r="AM190" s="18">
        <v>12</v>
      </c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>
        <f t="shared" si="5"/>
        <v>12</v>
      </c>
    </row>
    <row r="191" spans="1:54" x14ac:dyDescent="0.3">
      <c r="A191" s="17" t="s">
        <v>295</v>
      </c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9"/>
      <c r="M191" s="18"/>
      <c r="N191" s="18"/>
      <c r="O191" s="18"/>
      <c r="P191" s="18"/>
      <c r="Q191" s="18"/>
      <c r="R191" s="18"/>
      <c r="S191" s="18">
        <v>2</v>
      </c>
      <c r="T191" s="18">
        <v>2</v>
      </c>
      <c r="U191" s="18">
        <v>4</v>
      </c>
      <c r="V191" s="18">
        <v>4</v>
      </c>
      <c r="W191" s="18">
        <f t="shared" si="4"/>
        <v>12</v>
      </c>
      <c r="X191" s="16">
        <v>3024</v>
      </c>
      <c r="Y191" s="12">
        <v>39</v>
      </c>
      <c r="Z191" s="12">
        <v>0</v>
      </c>
      <c r="AA191" s="13">
        <v>2</v>
      </c>
      <c r="AB191" s="14" t="e">
        <v>#N/A</v>
      </c>
      <c r="AC191" s="14" t="e">
        <v>#N/A</v>
      </c>
      <c r="AD191" s="15"/>
      <c r="AE191" s="18"/>
      <c r="AF191" s="19"/>
      <c r="AG191" s="18"/>
      <c r="AH191" s="18"/>
      <c r="AI191" s="18"/>
      <c r="AJ191" s="18"/>
      <c r="AK191" s="18"/>
      <c r="AL191" s="18"/>
      <c r="AM191" s="18">
        <v>12</v>
      </c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>
        <f t="shared" si="5"/>
        <v>12</v>
      </c>
    </row>
    <row r="192" spans="1:54" x14ac:dyDescent="0.3">
      <c r="A192" s="17" t="s">
        <v>296</v>
      </c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9"/>
      <c r="M192" s="18"/>
      <c r="N192" s="18"/>
      <c r="O192" s="18"/>
      <c r="P192" s="18"/>
      <c r="Q192" s="18"/>
      <c r="R192" s="18"/>
      <c r="S192" s="18">
        <v>2</v>
      </c>
      <c r="T192" s="18">
        <v>2</v>
      </c>
      <c r="U192" s="18">
        <v>4</v>
      </c>
      <c r="V192" s="18">
        <v>4</v>
      </c>
      <c r="W192" s="18">
        <f t="shared" si="4"/>
        <v>12</v>
      </c>
      <c r="X192" s="16">
        <v>3024</v>
      </c>
      <c r="Y192" s="12">
        <v>38</v>
      </c>
      <c r="Z192" s="12">
        <v>0</v>
      </c>
      <c r="AA192" s="13">
        <v>2</v>
      </c>
      <c r="AB192" s="14" t="e">
        <v>#N/A</v>
      </c>
      <c r="AC192" s="14" t="e">
        <v>#N/A</v>
      </c>
      <c r="AD192" s="15"/>
      <c r="AE192" s="18"/>
      <c r="AF192" s="19"/>
      <c r="AG192" s="18"/>
      <c r="AH192" s="18"/>
      <c r="AI192" s="18"/>
      <c r="AJ192" s="18"/>
      <c r="AK192" s="18"/>
      <c r="AL192" s="18"/>
      <c r="AM192" s="18">
        <v>8</v>
      </c>
      <c r="AN192" s="18"/>
      <c r="AO192" s="18"/>
      <c r="AP192" s="18">
        <v>4</v>
      </c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>
        <f t="shared" si="5"/>
        <v>12</v>
      </c>
    </row>
    <row r="193" spans="1:54" x14ac:dyDescent="0.3">
      <c r="A193" s="17" t="s">
        <v>297</v>
      </c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9"/>
      <c r="M193" s="18"/>
      <c r="N193" s="18"/>
      <c r="O193" s="18"/>
      <c r="P193" s="18"/>
      <c r="Q193" s="18"/>
      <c r="R193" s="18"/>
      <c r="S193" s="18">
        <v>2</v>
      </c>
      <c r="T193" s="18">
        <v>1</v>
      </c>
      <c r="U193" s="18">
        <v>2</v>
      </c>
      <c r="V193" s="18">
        <v>2</v>
      </c>
      <c r="W193" s="18">
        <f t="shared" si="4"/>
        <v>7</v>
      </c>
      <c r="X193" s="16">
        <v>3024</v>
      </c>
      <c r="Y193" s="12">
        <v>18</v>
      </c>
      <c r="Z193" s="12">
        <v>0</v>
      </c>
      <c r="AA193" s="13">
        <v>1</v>
      </c>
      <c r="AB193" s="14" t="e">
        <v>#N/A</v>
      </c>
      <c r="AC193" s="14" t="e">
        <v>#N/A</v>
      </c>
      <c r="AD193" s="15"/>
      <c r="AE193" s="18"/>
      <c r="AF193" s="19"/>
      <c r="AG193" s="18"/>
      <c r="AH193" s="18"/>
      <c r="AI193" s="18"/>
      <c r="AJ193" s="18"/>
      <c r="AK193" s="18"/>
      <c r="AL193" s="18"/>
      <c r="AM193" s="18">
        <v>4</v>
      </c>
      <c r="AN193" s="18"/>
      <c r="AO193" s="18">
        <v>3</v>
      </c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>
        <f t="shared" si="5"/>
        <v>7</v>
      </c>
    </row>
    <row r="194" spans="1:54" x14ac:dyDescent="0.3">
      <c r="A194" s="17" t="s">
        <v>298</v>
      </c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9"/>
      <c r="M194" s="18"/>
      <c r="N194" s="18"/>
      <c r="O194" s="18"/>
      <c r="P194" s="18"/>
      <c r="Q194" s="18"/>
      <c r="R194" s="18"/>
      <c r="S194" s="18">
        <v>2</v>
      </c>
      <c r="T194" s="18">
        <v>1</v>
      </c>
      <c r="U194" s="18">
        <v>2</v>
      </c>
      <c r="V194" s="18">
        <v>2</v>
      </c>
      <c r="W194" s="18">
        <f t="shared" si="4"/>
        <v>7</v>
      </c>
      <c r="X194" s="16">
        <v>3024</v>
      </c>
      <c r="Y194" s="12">
        <v>18</v>
      </c>
      <c r="Z194" s="12">
        <v>0</v>
      </c>
      <c r="AA194" s="13">
        <v>1</v>
      </c>
      <c r="AB194" s="14" t="e">
        <v>#N/A</v>
      </c>
      <c r="AC194" s="14" t="e">
        <v>#N/A</v>
      </c>
      <c r="AD194" s="15"/>
      <c r="AE194" s="18"/>
      <c r="AF194" s="19"/>
      <c r="AG194" s="18"/>
      <c r="AH194" s="18"/>
      <c r="AI194" s="18"/>
      <c r="AJ194" s="18"/>
      <c r="AK194" s="18"/>
      <c r="AL194" s="18"/>
      <c r="AM194" s="18">
        <v>6</v>
      </c>
      <c r="AN194" s="18"/>
      <c r="AO194" s="18"/>
      <c r="AP194" s="18">
        <v>1</v>
      </c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>
        <f t="shared" si="5"/>
        <v>7</v>
      </c>
    </row>
    <row r="195" spans="1:54" x14ac:dyDescent="0.3">
      <c r="A195" s="17" t="s">
        <v>299</v>
      </c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9"/>
      <c r="M195" s="18"/>
      <c r="N195" s="18"/>
      <c r="O195" s="18"/>
      <c r="P195" s="18"/>
      <c r="Q195" s="18"/>
      <c r="R195" s="18"/>
      <c r="S195" s="18">
        <v>2</v>
      </c>
      <c r="T195" s="18">
        <v>1</v>
      </c>
      <c r="U195" s="18">
        <v>2</v>
      </c>
      <c r="V195" s="18">
        <v>2</v>
      </c>
      <c r="W195" s="18">
        <f t="shared" ref="W195:W243" si="6">SUM(B195:V195)</f>
        <v>7</v>
      </c>
      <c r="X195" s="16">
        <v>3024</v>
      </c>
      <c r="Y195" s="12">
        <v>18</v>
      </c>
      <c r="Z195" s="12">
        <v>0</v>
      </c>
      <c r="AA195" s="13">
        <v>1</v>
      </c>
      <c r="AB195" s="14" t="e">
        <v>#N/A</v>
      </c>
      <c r="AC195" s="14" t="e">
        <v>#N/A</v>
      </c>
      <c r="AD195" s="15"/>
      <c r="AE195" s="18"/>
      <c r="AF195" s="19"/>
      <c r="AG195" s="18"/>
      <c r="AH195" s="18"/>
      <c r="AI195" s="18"/>
      <c r="AJ195" s="18"/>
      <c r="AK195" s="18"/>
      <c r="AL195" s="18"/>
      <c r="AM195" s="18">
        <v>6</v>
      </c>
      <c r="AN195" s="18"/>
      <c r="AO195" s="18"/>
      <c r="AP195" s="18">
        <v>1</v>
      </c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>
        <f t="shared" ref="BB195:BB243" si="7">SUM(AE195:BA195)</f>
        <v>7</v>
      </c>
    </row>
    <row r="196" spans="1:54" x14ac:dyDescent="0.3">
      <c r="A196" s="17" t="s">
        <v>300</v>
      </c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9"/>
      <c r="M196" s="18"/>
      <c r="N196" s="18"/>
      <c r="O196" s="18"/>
      <c r="P196" s="18"/>
      <c r="Q196" s="18"/>
      <c r="R196" s="18"/>
      <c r="S196" s="18">
        <v>4</v>
      </c>
      <c r="T196" s="18">
        <v>4</v>
      </c>
      <c r="U196" s="18">
        <v>4</v>
      </c>
      <c r="V196" s="18">
        <v>4</v>
      </c>
      <c r="W196" s="18">
        <f t="shared" si="6"/>
        <v>16</v>
      </c>
      <c r="X196" s="16">
        <v>3024</v>
      </c>
      <c r="Y196" s="12">
        <v>36</v>
      </c>
      <c r="Z196" s="12">
        <v>0</v>
      </c>
      <c r="AA196" s="13">
        <v>2</v>
      </c>
      <c r="AB196" s="14" t="e">
        <v>#N/A</v>
      </c>
      <c r="AC196" s="14" t="e">
        <v>#N/A</v>
      </c>
      <c r="AD196" s="15"/>
      <c r="AE196" s="18"/>
      <c r="AF196" s="19"/>
      <c r="AG196" s="18"/>
      <c r="AH196" s="18"/>
      <c r="AI196" s="18"/>
      <c r="AJ196" s="18"/>
      <c r="AK196" s="18"/>
      <c r="AL196" s="18"/>
      <c r="AM196" s="18">
        <v>8</v>
      </c>
      <c r="AN196" s="18"/>
      <c r="AO196" s="18">
        <v>8</v>
      </c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>
        <f t="shared" si="7"/>
        <v>16</v>
      </c>
    </row>
    <row r="197" spans="1:54" x14ac:dyDescent="0.3">
      <c r="A197" s="17" t="s">
        <v>301</v>
      </c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9"/>
      <c r="M197" s="18"/>
      <c r="N197" s="18"/>
      <c r="O197" s="18"/>
      <c r="P197" s="18"/>
      <c r="Q197" s="18"/>
      <c r="R197" s="18"/>
      <c r="S197" s="18">
        <v>2</v>
      </c>
      <c r="T197" s="18">
        <v>2</v>
      </c>
      <c r="U197" s="18">
        <v>2</v>
      </c>
      <c r="V197" s="18">
        <v>2</v>
      </c>
      <c r="W197" s="18">
        <f t="shared" si="6"/>
        <v>8</v>
      </c>
      <c r="X197" s="16">
        <v>3024</v>
      </c>
      <c r="Y197" s="12">
        <v>18</v>
      </c>
      <c r="Z197" s="12">
        <v>0</v>
      </c>
      <c r="AA197" s="13">
        <v>1</v>
      </c>
      <c r="AB197" s="14" t="e">
        <v>#N/A</v>
      </c>
      <c r="AC197" s="14" t="e">
        <v>#N/A</v>
      </c>
      <c r="AD197" s="15"/>
      <c r="AE197" s="18"/>
      <c r="AF197" s="19"/>
      <c r="AG197" s="18"/>
      <c r="AH197" s="18"/>
      <c r="AI197" s="18"/>
      <c r="AJ197" s="18"/>
      <c r="AK197" s="18"/>
      <c r="AL197" s="18"/>
      <c r="AM197" s="18">
        <v>4</v>
      </c>
      <c r="AN197" s="18"/>
      <c r="AO197" s="18">
        <v>4</v>
      </c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>
        <f t="shared" si="7"/>
        <v>8</v>
      </c>
    </row>
    <row r="198" spans="1:54" x14ac:dyDescent="0.3">
      <c r="A198" s="17" t="s">
        <v>302</v>
      </c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9"/>
      <c r="M198" s="18"/>
      <c r="N198" s="18"/>
      <c r="O198" s="18"/>
      <c r="P198" s="18"/>
      <c r="Q198" s="18"/>
      <c r="R198" s="18"/>
      <c r="S198" s="18">
        <v>4</v>
      </c>
      <c r="T198" s="18">
        <v>4</v>
      </c>
      <c r="U198" s="18">
        <v>4</v>
      </c>
      <c r="V198" s="18">
        <v>4</v>
      </c>
      <c r="W198" s="18">
        <f t="shared" si="6"/>
        <v>16</v>
      </c>
      <c r="X198" s="16">
        <v>3024</v>
      </c>
      <c r="Y198" s="12">
        <v>36</v>
      </c>
      <c r="Z198" s="12">
        <v>0</v>
      </c>
      <c r="AA198" s="13">
        <v>2</v>
      </c>
      <c r="AB198" s="14" t="e">
        <v>#N/A</v>
      </c>
      <c r="AC198" s="14" t="e">
        <v>#N/A</v>
      </c>
      <c r="AD198" s="15"/>
      <c r="AE198" s="18"/>
      <c r="AF198" s="19"/>
      <c r="AG198" s="18"/>
      <c r="AH198" s="18"/>
      <c r="AI198" s="18"/>
      <c r="AJ198" s="18"/>
      <c r="AK198" s="18"/>
      <c r="AL198" s="18"/>
      <c r="AM198" s="18">
        <v>4</v>
      </c>
      <c r="AN198" s="18">
        <v>4</v>
      </c>
      <c r="AO198" s="18">
        <v>4</v>
      </c>
      <c r="AP198" s="18">
        <v>4</v>
      </c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>
        <f t="shared" si="7"/>
        <v>16</v>
      </c>
    </row>
    <row r="199" spans="1:54" x14ac:dyDescent="0.3">
      <c r="A199" s="17" t="s">
        <v>303</v>
      </c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9"/>
      <c r="M199" s="18"/>
      <c r="N199" s="18"/>
      <c r="O199" s="18"/>
      <c r="P199" s="18"/>
      <c r="Q199" s="18"/>
      <c r="R199" s="18"/>
      <c r="S199" s="18">
        <v>12</v>
      </c>
      <c r="T199" s="18">
        <v>12</v>
      </c>
      <c r="U199" s="18">
        <v>12</v>
      </c>
      <c r="V199" s="18">
        <v>12</v>
      </c>
      <c r="W199" s="18">
        <f t="shared" si="6"/>
        <v>48</v>
      </c>
      <c r="X199" s="16">
        <v>3024</v>
      </c>
      <c r="Y199" s="12">
        <v>108</v>
      </c>
      <c r="Z199" s="12">
        <v>0</v>
      </c>
      <c r="AA199" s="13">
        <v>6</v>
      </c>
      <c r="AB199" s="14" t="e">
        <v>#N/A</v>
      </c>
      <c r="AC199" s="14" t="e">
        <v>#N/A</v>
      </c>
      <c r="AD199" s="15"/>
      <c r="AE199" s="18"/>
      <c r="AF199" s="19"/>
      <c r="AG199" s="18"/>
      <c r="AH199" s="18"/>
      <c r="AI199" s="18"/>
      <c r="AJ199" s="18"/>
      <c r="AK199" s="18"/>
      <c r="AL199" s="18"/>
      <c r="AM199" s="18">
        <v>18</v>
      </c>
      <c r="AN199" s="18">
        <v>18</v>
      </c>
      <c r="AO199" s="18"/>
      <c r="AP199" s="18">
        <v>12</v>
      </c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>
        <f t="shared" si="7"/>
        <v>48</v>
      </c>
    </row>
    <row r="200" spans="1:54" x14ac:dyDescent="0.3">
      <c r="A200" s="17" t="s">
        <v>305</v>
      </c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9"/>
      <c r="M200" s="18"/>
      <c r="N200" s="18"/>
      <c r="O200" s="18"/>
      <c r="P200" s="18"/>
      <c r="Q200" s="18"/>
      <c r="R200" s="18"/>
      <c r="S200" s="18">
        <v>2</v>
      </c>
      <c r="T200" s="18">
        <v>2</v>
      </c>
      <c r="U200" s="18">
        <v>4</v>
      </c>
      <c r="V200" s="18">
        <v>4</v>
      </c>
      <c r="W200" s="18">
        <f t="shared" si="6"/>
        <v>12</v>
      </c>
      <c r="X200" s="16">
        <v>3024</v>
      </c>
      <c r="Y200" s="12">
        <v>40</v>
      </c>
      <c r="Z200" s="12">
        <v>0</v>
      </c>
      <c r="AA200" s="13">
        <v>2</v>
      </c>
      <c r="AB200" s="14" t="e">
        <v>#N/A</v>
      </c>
      <c r="AC200" s="14" t="e">
        <v>#N/A</v>
      </c>
      <c r="AD200" s="15"/>
      <c r="AE200" s="18"/>
      <c r="AF200" s="19"/>
      <c r="AG200" s="18"/>
      <c r="AH200" s="18"/>
      <c r="AI200" s="18"/>
      <c r="AJ200" s="18"/>
      <c r="AK200" s="18"/>
      <c r="AL200" s="18"/>
      <c r="AM200" s="18">
        <v>12</v>
      </c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>
        <f t="shared" si="7"/>
        <v>12</v>
      </c>
    </row>
    <row r="201" spans="1:54" x14ac:dyDescent="0.3">
      <c r="A201" s="17" t="s">
        <v>306</v>
      </c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9"/>
      <c r="M201" s="18"/>
      <c r="N201" s="18"/>
      <c r="O201" s="18"/>
      <c r="P201" s="18"/>
      <c r="Q201" s="18"/>
      <c r="R201" s="18"/>
      <c r="S201" s="18">
        <v>16</v>
      </c>
      <c r="T201" s="18">
        <v>16</v>
      </c>
      <c r="U201" s="18">
        <v>16</v>
      </c>
      <c r="V201" s="18">
        <v>16</v>
      </c>
      <c r="W201" s="18">
        <f t="shared" si="6"/>
        <v>64</v>
      </c>
      <c r="X201" s="16">
        <v>3024</v>
      </c>
      <c r="Y201" s="12">
        <v>144</v>
      </c>
      <c r="Z201" s="12">
        <v>0</v>
      </c>
      <c r="AA201" s="13">
        <v>8</v>
      </c>
      <c r="AB201" s="14" t="e">
        <v>#N/A</v>
      </c>
      <c r="AC201" s="14" t="e">
        <v>#N/A</v>
      </c>
      <c r="AD201" s="15"/>
      <c r="AE201" s="18"/>
      <c r="AF201" s="19"/>
      <c r="AG201" s="18"/>
      <c r="AH201" s="18"/>
      <c r="AI201" s="18"/>
      <c r="AJ201" s="18"/>
      <c r="AK201" s="18"/>
      <c r="AL201" s="18"/>
      <c r="AM201" s="18">
        <v>16</v>
      </c>
      <c r="AN201" s="18">
        <v>16</v>
      </c>
      <c r="AO201" s="18">
        <v>16</v>
      </c>
      <c r="AP201" s="18">
        <v>16</v>
      </c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>
        <f t="shared" si="7"/>
        <v>64</v>
      </c>
    </row>
    <row r="202" spans="1:54" x14ac:dyDescent="0.3">
      <c r="A202" s="17" t="s">
        <v>307</v>
      </c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9"/>
      <c r="M202" s="18"/>
      <c r="N202" s="18"/>
      <c r="O202" s="18"/>
      <c r="P202" s="18"/>
      <c r="Q202" s="18"/>
      <c r="R202" s="18"/>
      <c r="S202" s="18">
        <v>2</v>
      </c>
      <c r="T202" s="18">
        <v>1</v>
      </c>
      <c r="U202" s="18">
        <v>2</v>
      </c>
      <c r="V202" s="18">
        <v>2</v>
      </c>
      <c r="W202" s="18">
        <f t="shared" si="6"/>
        <v>7</v>
      </c>
      <c r="X202" s="16">
        <v>3024</v>
      </c>
      <c r="Y202" s="12">
        <v>18</v>
      </c>
      <c r="Z202" s="12">
        <v>0</v>
      </c>
      <c r="AA202" s="13">
        <v>1</v>
      </c>
      <c r="AB202" s="14" t="e">
        <v>#N/A</v>
      </c>
      <c r="AC202" s="14" t="e">
        <v>#N/A</v>
      </c>
      <c r="AD202" s="15"/>
      <c r="AE202" s="18"/>
      <c r="AF202" s="19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>
        <v>7</v>
      </c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>
        <f t="shared" si="7"/>
        <v>7</v>
      </c>
    </row>
    <row r="203" spans="1:54" x14ac:dyDescent="0.3">
      <c r="A203" s="17" t="s">
        <v>308</v>
      </c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9"/>
      <c r="M203" s="18"/>
      <c r="N203" s="18"/>
      <c r="O203" s="18"/>
      <c r="P203" s="18">
        <v>2</v>
      </c>
      <c r="Q203" s="18">
        <v>2</v>
      </c>
      <c r="R203" s="18">
        <v>2</v>
      </c>
      <c r="S203" s="18">
        <v>2</v>
      </c>
      <c r="T203" s="18">
        <v>2</v>
      </c>
      <c r="U203" s="18">
        <v>2</v>
      </c>
      <c r="V203" s="18">
        <v>2</v>
      </c>
      <c r="W203" s="18">
        <f t="shared" si="6"/>
        <v>14</v>
      </c>
      <c r="X203" s="16">
        <v>3024</v>
      </c>
      <c r="Y203" s="12">
        <v>18</v>
      </c>
      <c r="Z203" s="12">
        <v>0</v>
      </c>
      <c r="AA203" s="13">
        <v>1</v>
      </c>
      <c r="AB203" s="14" t="e">
        <v>#N/A</v>
      </c>
      <c r="AC203" s="14" t="e">
        <v>#N/A</v>
      </c>
      <c r="AD203" s="15"/>
      <c r="AE203" s="18"/>
      <c r="AF203" s="19"/>
      <c r="AG203" s="18"/>
      <c r="AH203" s="18"/>
      <c r="AI203" s="18"/>
      <c r="AJ203" s="18">
        <v>12</v>
      </c>
      <c r="AK203" s="18"/>
      <c r="AL203" s="18"/>
      <c r="AM203" s="18"/>
      <c r="AN203" s="18"/>
      <c r="AO203" s="18"/>
      <c r="AP203" s="18">
        <v>2</v>
      </c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>
        <f t="shared" si="7"/>
        <v>14</v>
      </c>
    </row>
    <row r="204" spans="1:54" x14ac:dyDescent="0.3">
      <c r="A204" s="17" t="s">
        <v>309</v>
      </c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9"/>
      <c r="M204" s="18"/>
      <c r="N204" s="18"/>
      <c r="O204" s="18"/>
      <c r="P204" s="18"/>
      <c r="Q204" s="18"/>
      <c r="R204" s="18"/>
      <c r="S204" s="18">
        <v>2</v>
      </c>
      <c r="T204" s="18">
        <v>2</v>
      </c>
      <c r="U204" s="18">
        <v>2</v>
      </c>
      <c r="V204" s="18">
        <v>2</v>
      </c>
      <c r="W204" s="18">
        <f t="shared" si="6"/>
        <v>8</v>
      </c>
      <c r="X204" s="16">
        <v>3024</v>
      </c>
      <c r="Y204" s="12">
        <v>18</v>
      </c>
      <c r="Z204" s="12">
        <v>0</v>
      </c>
      <c r="AA204" s="13">
        <v>1</v>
      </c>
      <c r="AB204" s="14" t="e">
        <v>#N/A</v>
      </c>
      <c r="AC204" s="14" t="e">
        <v>#N/A</v>
      </c>
      <c r="AD204" s="15"/>
      <c r="AE204" s="18"/>
      <c r="AF204" s="19"/>
      <c r="AG204" s="18"/>
      <c r="AH204" s="18"/>
      <c r="AI204" s="18"/>
      <c r="AJ204" s="18"/>
      <c r="AK204" s="18"/>
      <c r="AL204" s="18"/>
      <c r="AM204" s="18">
        <v>6</v>
      </c>
      <c r="AN204" s="18"/>
      <c r="AO204" s="18"/>
      <c r="AP204" s="18">
        <v>2</v>
      </c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>
        <f t="shared" si="7"/>
        <v>8</v>
      </c>
    </row>
    <row r="205" spans="1:54" x14ac:dyDescent="0.3">
      <c r="A205" s="17" t="s">
        <v>310</v>
      </c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9"/>
      <c r="M205" s="18"/>
      <c r="N205" s="18"/>
      <c r="O205" s="18"/>
      <c r="P205" s="18"/>
      <c r="Q205" s="18"/>
      <c r="R205" s="18"/>
      <c r="S205" s="18">
        <v>2</v>
      </c>
      <c r="T205" s="18">
        <v>2</v>
      </c>
      <c r="U205" s="18">
        <v>2</v>
      </c>
      <c r="V205" s="18">
        <v>2</v>
      </c>
      <c r="W205" s="18">
        <f t="shared" si="6"/>
        <v>8</v>
      </c>
      <c r="X205" s="16">
        <v>3024</v>
      </c>
      <c r="Y205" s="12">
        <v>18</v>
      </c>
      <c r="Z205" s="12">
        <v>0</v>
      </c>
      <c r="AA205" s="13">
        <v>1</v>
      </c>
      <c r="AB205" s="14" t="e">
        <v>#N/A</v>
      </c>
      <c r="AC205" s="14" t="e">
        <v>#N/A</v>
      </c>
      <c r="AD205" s="15"/>
      <c r="AE205" s="18"/>
      <c r="AF205" s="19"/>
      <c r="AG205" s="18"/>
      <c r="AH205" s="18"/>
      <c r="AI205" s="18"/>
      <c r="AJ205" s="18"/>
      <c r="AK205" s="18"/>
      <c r="AL205" s="18"/>
      <c r="AM205" s="18">
        <v>6</v>
      </c>
      <c r="AN205" s="18"/>
      <c r="AO205" s="18"/>
      <c r="AP205" s="18">
        <v>2</v>
      </c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>
        <f t="shared" si="7"/>
        <v>8</v>
      </c>
    </row>
    <row r="206" spans="1:54" x14ac:dyDescent="0.3">
      <c r="A206" s="17" t="s">
        <v>311</v>
      </c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9"/>
      <c r="M206" s="18"/>
      <c r="N206" s="18"/>
      <c r="O206" s="18"/>
      <c r="P206" s="18"/>
      <c r="Q206" s="18">
        <v>2</v>
      </c>
      <c r="R206" s="18">
        <v>2</v>
      </c>
      <c r="S206" s="18">
        <v>2</v>
      </c>
      <c r="T206" s="18">
        <v>2</v>
      </c>
      <c r="U206" s="18">
        <v>2</v>
      </c>
      <c r="V206" s="18">
        <v>2</v>
      </c>
      <c r="W206" s="18">
        <f t="shared" si="6"/>
        <v>12</v>
      </c>
      <c r="X206" s="16">
        <v>3025</v>
      </c>
      <c r="Y206" s="12">
        <v>19</v>
      </c>
      <c r="Z206" s="12">
        <v>1</v>
      </c>
      <c r="AA206" s="13">
        <v>1</v>
      </c>
      <c r="AB206" s="14" t="e">
        <v>#N/A</v>
      </c>
      <c r="AC206" s="14" t="e">
        <v>#N/A</v>
      </c>
      <c r="AD206" s="15"/>
      <c r="AE206" s="18"/>
      <c r="AF206" s="19"/>
      <c r="AG206" s="18"/>
      <c r="AH206" s="18"/>
      <c r="AI206" s="18"/>
      <c r="AJ206" s="18"/>
      <c r="AK206" s="18"/>
      <c r="AL206" s="18">
        <v>9</v>
      </c>
      <c r="AM206" s="18"/>
      <c r="AN206" s="18"/>
      <c r="AO206" s="18"/>
      <c r="AP206" s="18"/>
      <c r="AQ206" s="18"/>
      <c r="AR206" s="18">
        <v>3</v>
      </c>
      <c r="AS206" s="18"/>
      <c r="AT206" s="18"/>
      <c r="AU206" s="18"/>
      <c r="AV206" s="18"/>
      <c r="AW206" s="18"/>
      <c r="AX206" s="18"/>
      <c r="AY206" s="18"/>
      <c r="AZ206" s="18"/>
      <c r="BA206" s="18"/>
      <c r="BB206" s="18">
        <f t="shared" si="7"/>
        <v>12</v>
      </c>
    </row>
    <row r="207" spans="1:54" x14ac:dyDescent="0.3">
      <c r="A207" s="17" t="s">
        <v>313</v>
      </c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9"/>
      <c r="M207" s="18"/>
      <c r="N207" s="18"/>
      <c r="O207" s="18"/>
      <c r="P207" s="18">
        <v>2</v>
      </c>
      <c r="Q207" s="18">
        <v>2</v>
      </c>
      <c r="R207" s="18">
        <v>2</v>
      </c>
      <c r="S207" s="18">
        <v>2</v>
      </c>
      <c r="T207" s="18">
        <v>2</v>
      </c>
      <c r="U207" s="18">
        <v>2</v>
      </c>
      <c r="V207" s="18">
        <v>2</v>
      </c>
      <c r="W207" s="18">
        <f t="shared" si="6"/>
        <v>14</v>
      </c>
      <c r="X207" s="16">
        <v>3025</v>
      </c>
      <c r="Y207" s="12">
        <v>19</v>
      </c>
      <c r="Z207" s="12">
        <v>0</v>
      </c>
      <c r="AA207" s="13">
        <v>1</v>
      </c>
      <c r="AB207" s="14" t="e">
        <v>#N/A</v>
      </c>
      <c r="AC207" s="14" t="e">
        <v>#N/A</v>
      </c>
      <c r="AD207" s="15"/>
      <c r="AE207" s="18"/>
      <c r="AF207" s="19"/>
      <c r="AG207" s="18"/>
      <c r="AH207" s="18"/>
      <c r="AI207" s="18"/>
      <c r="AJ207" s="18"/>
      <c r="AK207" s="18"/>
      <c r="AL207" s="18">
        <v>7</v>
      </c>
      <c r="AM207" s="18"/>
      <c r="AN207" s="18"/>
      <c r="AO207" s="18"/>
      <c r="AP207" s="18">
        <v>7</v>
      </c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>
        <f t="shared" si="7"/>
        <v>14</v>
      </c>
    </row>
    <row r="208" spans="1:54" x14ac:dyDescent="0.3">
      <c r="A208" s="17" t="s">
        <v>315</v>
      </c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9"/>
      <c r="M208" s="18"/>
      <c r="N208" s="18"/>
      <c r="O208" s="18"/>
      <c r="P208" s="18"/>
      <c r="Q208" s="18"/>
      <c r="R208" s="18"/>
      <c r="S208" s="18">
        <v>1</v>
      </c>
      <c r="T208" s="18">
        <v>1</v>
      </c>
      <c r="U208" s="18">
        <v>2</v>
      </c>
      <c r="V208" s="18">
        <v>2</v>
      </c>
      <c r="W208" s="18">
        <f t="shared" si="6"/>
        <v>6</v>
      </c>
      <c r="X208" s="16">
        <v>3025</v>
      </c>
      <c r="Y208" s="12">
        <v>19</v>
      </c>
      <c r="Z208" s="12">
        <v>0</v>
      </c>
      <c r="AA208" s="13">
        <v>1</v>
      </c>
      <c r="AB208" s="14" t="e">
        <v>#N/A</v>
      </c>
      <c r="AC208" s="14" t="e">
        <v>#N/A</v>
      </c>
      <c r="AD208" s="15"/>
      <c r="AE208" s="18"/>
      <c r="AF208" s="19"/>
      <c r="AG208" s="18"/>
      <c r="AH208" s="18"/>
      <c r="AI208" s="18"/>
      <c r="AJ208" s="18"/>
      <c r="AK208" s="18"/>
      <c r="AL208" s="18"/>
      <c r="AM208" s="18">
        <v>6</v>
      </c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>
        <f t="shared" si="7"/>
        <v>6</v>
      </c>
    </row>
    <row r="209" spans="1:54" x14ac:dyDescent="0.3">
      <c r="A209" s="17" t="s">
        <v>316</v>
      </c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9"/>
      <c r="M209" s="18"/>
      <c r="N209" s="18"/>
      <c r="O209" s="18"/>
      <c r="P209" s="18"/>
      <c r="Q209" s="18"/>
      <c r="R209" s="18"/>
      <c r="S209" s="18"/>
      <c r="T209" s="18">
        <v>2</v>
      </c>
      <c r="U209" s="18">
        <v>4</v>
      </c>
      <c r="V209" s="18">
        <v>4</v>
      </c>
      <c r="W209" s="18">
        <f t="shared" si="6"/>
        <v>10</v>
      </c>
      <c r="X209" s="16">
        <v>3025</v>
      </c>
      <c r="Y209" s="12">
        <v>40</v>
      </c>
      <c r="Z209" s="12">
        <v>0</v>
      </c>
      <c r="AA209" s="13">
        <v>2</v>
      </c>
      <c r="AB209" s="14" t="e">
        <v>#N/A</v>
      </c>
      <c r="AC209" s="14" t="e">
        <v>#N/A</v>
      </c>
      <c r="AD209" s="15"/>
      <c r="AE209" s="18"/>
      <c r="AF209" s="19"/>
      <c r="AG209" s="18"/>
      <c r="AH209" s="18"/>
      <c r="AI209" s="18"/>
      <c r="AJ209" s="18"/>
      <c r="AK209" s="18"/>
      <c r="AL209" s="18"/>
      <c r="AM209" s="18"/>
      <c r="AN209" s="18">
        <v>10</v>
      </c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>
        <f t="shared" si="7"/>
        <v>10</v>
      </c>
    </row>
    <row r="210" spans="1:54" x14ac:dyDescent="0.3">
      <c r="A210" s="17" t="s">
        <v>317</v>
      </c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9"/>
      <c r="M210" s="18"/>
      <c r="N210" s="18"/>
      <c r="O210" s="18"/>
      <c r="P210" s="18">
        <v>1</v>
      </c>
      <c r="Q210" s="18">
        <v>2</v>
      </c>
      <c r="R210" s="18">
        <v>2</v>
      </c>
      <c r="S210" s="18">
        <v>2</v>
      </c>
      <c r="T210" s="18">
        <v>2</v>
      </c>
      <c r="U210" s="18">
        <v>2</v>
      </c>
      <c r="V210" s="18">
        <v>2</v>
      </c>
      <c r="W210" s="18">
        <f t="shared" si="6"/>
        <v>13</v>
      </c>
      <c r="X210" s="16">
        <v>3025</v>
      </c>
      <c r="Y210" s="12">
        <v>19</v>
      </c>
      <c r="Z210" s="12">
        <v>0</v>
      </c>
      <c r="AA210" s="13">
        <v>1</v>
      </c>
      <c r="AB210" s="14" t="e">
        <v>#N/A</v>
      </c>
      <c r="AC210" s="14" t="e">
        <v>#N/A</v>
      </c>
      <c r="AD210" s="15"/>
      <c r="AE210" s="18"/>
      <c r="AF210" s="19"/>
      <c r="AG210" s="18"/>
      <c r="AH210" s="18"/>
      <c r="AI210" s="18"/>
      <c r="AJ210" s="18"/>
      <c r="AK210" s="18">
        <v>12</v>
      </c>
      <c r="AL210" s="18"/>
      <c r="AM210" s="18"/>
      <c r="AN210" s="18"/>
      <c r="AO210" s="18"/>
      <c r="AP210" s="18"/>
      <c r="AQ210" s="18">
        <v>1</v>
      </c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>
        <f t="shared" si="7"/>
        <v>13</v>
      </c>
    </row>
    <row r="211" spans="1:54" x14ac:dyDescent="0.3">
      <c r="A211" s="17" t="s">
        <v>318</v>
      </c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9"/>
      <c r="M211" s="18"/>
      <c r="N211" s="18"/>
      <c r="O211" s="18"/>
      <c r="P211" s="18"/>
      <c r="Q211" s="18"/>
      <c r="R211" s="18"/>
      <c r="S211" s="18"/>
      <c r="T211" s="18">
        <v>2</v>
      </c>
      <c r="U211" s="18">
        <v>4</v>
      </c>
      <c r="V211" s="18">
        <v>4</v>
      </c>
      <c r="W211" s="18">
        <f t="shared" si="6"/>
        <v>10</v>
      </c>
      <c r="X211" s="16">
        <v>3025</v>
      </c>
      <c r="Y211" s="12">
        <v>40</v>
      </c>
      <c r="Z211" s="12">
        <v>0</v>
      </c>
      <c r="AA211" s="13">
        <v>2</v>
      </c>
      <c r="AB211" s="14" t="e">
        <v>#N/A</v>
      </c>
      <c r="AC211" s="14" t="e">
        <v>#N/A</v>
      </c>
      <c r="AD211" s="15"/>
      <c r="AE211" s="18"/>
      <c r="AF211" s="19"/>
      <c r="AG211" s="18"/>
      <c r="AH211" s="18"/>
      <c r="AI211" s="18"/>
      <c r="AJ211" s="18"/>
      <c r="AK211" s="18"/>
      <c r="AL211" s="18"/>
      <c r="AM211" s="18"/>
      <c r="AN211" s="18"/>
      <c r="AO211" s="18">
        <v>10</v>
      </c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>
        <f t="shared" si="7"/>
        <v>10</v>
      </c>
    </row>
    <row r="212" spans="1:54" x14ac:dyDescent="0.3">
      <c r="A212" s="17" t="s">
        <v>319</v>
      </c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9"/>
      <c r="M212" s="18"/>
      <c r="N212" s="18"/>
      <c r="O212" s="18"/>
      <c r="P212" s="18"/>
      <c r="Q212" s="18"/>
      <c r="R212" s="18"/>
      <c r="S212" s="18"/>
      <c r="T212" s="18">
        <v>1</v>
      </c>
      <c r="U212" s="18">
        <v>2</v>
      </c>
      <c r="V212" s="18">
        <v>2</v>
      </c>
      <c r="W212" s="18">
        <f t="shared" si="6"/>
        <v>5</v>
      </c>
      <c r="X212" s="16">
        <v>3025</v>
      </c>
      <c r="Y212" s="12">
        <v>20</v>
      </c>
      <c r="Z212" s="12">
        <v>0</v>
      </c>
      <c r="AA212" s="13">
        <v>1</v>
      </c>
      <c r="AB212" s="14" t="e">
        <v>#N/A</v>
      </c>
      <c r="AC212" s="14" t="e">
        <v>#N/A</v>
      </c>
      <c r="AD212" s="15"/>
      <c r="AE212" s="18"/>
      <c r="AF212" s="19"/>
      <c r="AG212" s="18"/>
      <c r="AH212" s="18"/>
      <c r="AI212" s="18"/>
      <c r="AJ212" s="18"/>
      <c r="AK212" s="18"/>
      <c r="AL212" s="18"/>
      <c r="AM212" s="18"/>
      <c r="AN212" s="18">
        <v>4</v>
      </c>
      <c r="AO212" s="18"/>
      <c r="AP212" s="18">
        <v>1</v>
      </c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>
        <f t="shared" si="7"/>
        <v>5</v>
      </c>
    </row>
    <row r="213" spans="1:54" x14ac:dyDescent="0.3">
      <c r="A213" s="17" t="s">
        <v>320</v>
      </c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9"/>
      <c r="M213" s="18"/>
      <c r="N213" s="18"/>
      <c r="O213" s="18"/>
      <c r="P213" s="18"/>
      <c r="Q213" s="18"/>
      <c r="R213" s="18"/>
      <c r="S213" s="18">
        <v>7</v>
      </c>
      <c r="T213" s="18">
        <v>3</v>
      </c>
      <c r="U213" s="18">
        <v>6</v>
      </c>
      <c r="V213" s="18">
        <v>6</v>
      </c>
      <c r="W213" s="18">
        <f t="shared" si="6"/>
        <v>22</v>
      </c>
      <c r="X213" s="16">
        <v>3026</v>
      </c>
      <c r="Y213" s="12">
        <v>62</v>
      </c>
      <c r="Z213" s="12">
        <v>0</v>
      </c>
      <c r="AA213" s="13">
        <v>3</v>
      </c>
      <c r="AB213" s="14" t="e">
        <v>#N/A</v>
      </c>
      <c r="AC213" s="14" t="e">
        <v>#N/A</v>
      </c>
      <c r="AD213" s="15"/>
      <c r="AE213" s="18"/>
      <c r="AF213" s="19"/>
      <c r="AG213" s="18"/>
      <c r="AH213" s="18"/>
      <c r="AI213" s="18"/>
      <c r="AJ213" s="18"/>
      <c r="AK213" s="18"/>
      <c r="AL213" s="18"/>
      <c r="AM213" s="18"/>
      <c r="AN213" s="18"/>
      <c r="AO213" s="18">
        <v>12</v>
      </c>
      <c r="AP213" s="18"/>
      <c r="AQ213" s="18">
        <v>10</v>
      </c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>
        <f t="shared" si="7"/>
        <v>22</v>
      </c>
    </row>
    <row r="214" spans="1:54" x14ac:dyDescent="0.3">
      <c r="A214" s="17" t="s">
        <v>321</v>
      </c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9"/>
      <c r="M214" s="18"/>
      <c r="N214" s="18"/>
      <c r="O214" s="18"/>
      <c r="P214" s="18"/>
      <c r="Q214" s="18"/>
      <c r="R214" s="18"/>
      <c r="S214" s="18"/>
      <c r="T214" s="18">
        <v>1</v>
      </c>
      <c r="U214" s="18">
        <v>2</v>
      </c>
      <c r="V214" s="18">
        <v>2</v>
      </c>
      <c r="W214" s="18">
        <f t="shared" si="6"/>
        <v>5</v>
      </c>
      <c r="X214" s="16">
        <v>3026</v>
      </c>
      <c r="Y214" s="12">
        <v>20</v>
      </c>
      <c r="Z214" s="12">
        <v>0</v>
      </c>
      <c r="AA214" s="13">
        <v>1</v>
      </c>
      <c r="AB214" s="14" t="e">
        <v>#N/A</v>
      </c>
      <c r="AC214" s="14" t="e">
        <v>#N/A</v>
      </c>
      <c r="AD214" s="15"/>
      <c r="AE214" s="18"/>
      <c r="AF214" s="19"/>
      <c r="AG214" s="18"/>
      <c r="AH214" s="18"/>
      <c r="AI214" s="18"/>
      <c r="AJ214" s="18"/>
      <c r="AK214" s="18"/>
      <c r="AL214" s="18"/>
      <c r="AM214" s="18"/>
      <c r="AN214" s="18">
        <v>5</v>
      </c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>
        <f t="shared" si="7"/>
        <v>5</v>
      </c>
    </row>
    <row r="215" spans="1:54" x14ac:dyDescent="0.3">
      <c r="A215" s="17" t="s">
        <v>322</v>
      </c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9"/>
      <c r="M215" s="18"/>
      <c r="N215" s="18"/>
      <c r="O215" s="18"/>
      <c r="P215" s="18"/>
      <c r="Q215" s="18"/>
      <c r="R215" s="18"/>
      <c r="S215" s="18"/>
      <c r="T215" s="18">
        <v>36</v>
      </c>
      <c r="U215" s="18">
        <v>56</v>
      </c>
      <c r="V215" s="18">
        <v>56</v>
      </c>
      <c r="W215" s="18">
        <f t="shared" si="6"/>
        <v>148</v>
      </c>
      <c r="X215" s="16">
        <v>3026</v>
      </c>
      <c r="Y215" s="12">
        <v>640</v>
      </c>
      <c r="Z215" s="12">
        <v>0</v>
      </c>
      <c r="AA215" s="13">
        <v>28</v>
      </c>
      <c r="AB215" s="14" t="e">
        <v>#N/A</v>
      </c>
      <c r="AC215" s="14" t="e">
        <v>#N/A</v>
      </c>
      <c r="AD215" s="15"/>
      <c r="AE215" s="18"/>
      <c r="AF215" s="19"/>
      <c r="AG215" s="18"/>
      <c r="AH215" s="18"/>
      <c r="AI215" s="18"/>
      <c r="AJ215" s="18"/>
      <c r="AK215" s="18"/>
      <c r="AL215" s="18"/>
      <c r="AM215" s="18"/>
      <c r="AN215" s="18">
        <v>108</v>
      </c>
      <c r="AO215" s="18"/>
      <c r="AP215" s="18">
        <v>40</v>
      </c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>
        <f t="shared" si="7"/>
        <v>148</v>
      </c>
    </row>
    <row r="216" spans="1:54" x14ac:dyDescent="0.3">
      <c r="A216" s="17" t="s">
        <v>323</v>
      </c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9"/>
      <c r="M216" s="18"/>
      <c r="N216" s="18"/>
      <c r="O216" s="18"/>
      <c r="P216" s="18"/>
      <c r="Q216" s="18"/>
      <c r="R216" s="18">
        <v>1</v>
      </c>
      <c r="S216" s="18">
        <v>3</v>
      </c>
      <c r="T216" s="18">
        <v>1</v>
      </c>
      <c r="U216" s="18">
        <v>2</v>
      </c>
      <c r="V216" s="18">
        <v>2</v>
      </c>
      <c r="W216" s="18">
        <f t="shared" si="6"/>
        <v>9</v>
      </c>
      <c r="X216" s="16">
        <v>3027</v>
      </c>
      <c r="Y216" s="12">
        <v>21</v>
      </c>
      <c r="Z216" s="12">
        <v>0</v>
      </c>
      <c r="AA216" s="13">
        <v>1</v>
      </c>
      <c r="AB216" s="14" t="e">
        <v>#N/A</v>
      </c>
      <c r="AC216" s="14" t="e">
        <v>#N/A</v>
      </c>
      <c r="AD216" s="15"/>
      <c r="AE216" s="18"/>
      <c r="AF216" s="19"/>
      <c r="AG216" s="18"/>
      <c r="AH216" s="18"/>
      <c r="AI216" s="18"/>
      <c r="AJ216" s="18"/>
      <c r="AK216" s="18"/>
      <c r="AL216" s="18"/>
      <c r="AM216" s="18"/>
      <c r="AN216" s="18"/>
      <c r="AO216" s="18">
        <v>4</v>
      </c>
      <c r="AP216" s="18"/>
      <c r="AQ216" s="18">
        <v>4</v>
      </c>
      <c r="AR216" s="18"/>
      <c r="AS216" s="18">
        <v>1</v>
      </c>
      <c r="AT216" s="18"/>
      <c r="AU216" s="18"/>
      <c r="AV216" s="18"/>
      <c r="AW216" s="18"/>
      <c r="AX216" s="18"/>
      <c r="AY216" s="18"/>
      <c r="AZ216" s="18"/>
      <c r="BA216" s="18"/>
      <c r="BB216" s="18">
        <f t="shared" si="7"/>
        <v>9</v>
      </c>
    </row>
    <row r="217" spans="1:54" x14ac:dyDescent="0.3">
      <c r="A217" s="17" t="s">
        <v>325</v>
      </c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9"/>
      <c r="M217" s="18"/>
      <c r="N217" s="18"/>
      <c r="O217" s="18"/>
      <c r="P217" s="18"/>
      <c r="Q217" s="18"/>
      <c r="R217" s="18"/>
      <c r="S217" s="18"/>
      <c r="T217" s="18"/>
      <c r="U217" s="18">
        <v>2</v>
      </c>
      <c r="V217" s="18">
        <v>2</v>
      </c>
      <c r="W217" s="18">
        <f t="shared" si="6"/>
        <v>4</v>
      </c>
      <c r="X217" s="16">
        <v>3027</v>
      </c>
      <c r="Y217" s="12">
        <v>21</v>
      </c>
      <c r="Z217" s="12">
        <v>0</v>
      </c>
      <c r="AA217" s="13">
        <v>1</v>
      </c>
      <c r="AB217" s="14" t="e">
        <v>#N/A</v>
      </c>
      <c r="AC217" s="14" t="e">
        <v>#N/A</v>
      </c>
      <c r="AD217" s="15"/>
      <c r="AE217" s="18"/>
      <c r="AF217" s="19"/>
      <c r="AG217" s="18"/>
      <c r="AH217" s="18"/>
      <c r="AI217" s="18"/>
      <c r="AJ217" s="18"/>
      <c r="AK217" s="18"/>
      <c r="AL217" s="18"/>
      <c r="AM217" s="18"/>
      <c r="AN217" s="18"/>
      <c r="AO217" s="18">
        <v>4</v>
      </c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>
        <f t="shared" si="7"/>
        <v>4</v>
      </c>
    </row>
    <row r="218" spans="1:54" x14ac:dyDescent="0.3">
      <c r="A218" s="17" t="s">
        <v>326</v>
      </c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9"/>
      <c r="M218" s="18"/>
      <c r="N218" s="18"/>
      <c r="O218" s="18"/>
      <c r="P218" s="18"/>
      <c r="Q218" s="18"/>
      <c r="R218" s="18"/>
      <c r="S218" s="18"/>
      <c r="T218" s="18"/>
      <c r="U218" s="18">
        <v>2</v>
      </c>
      <c r="V218" s="18">
        <v>2</v>
      </c>
      <c r="W218" s="18">
        <f t="shared" si="6"/>
        <v>4</v>
      </c>
      <c r="X218" s="16">
        <v>3027</v>
      </c>
      <c r="Y218" s="12">
        <v>21</v>
      </c>
      <c r="Z218" s="12">
        <v>0</v>
      </c>
      <c r="AA218" s="13">
        <v>1</v>
      </c>
      <c r="AB218" s="14" t="e">
        <v>#N/A</v>
      </c>
      <c r="AC218" s="14" t="e">
        <v>#N/A</v>
      </c>
      <c r="AD218" s="15"/>
      <c r="AE218" s="18"/>
      <c r="AF218" s="19"/>
      <c r="AG218" s="18"/>
      <c r="AH218" s="18"/>
      <c r="AI218" s="18"/>
      <c r="AJ218" s="18"/>
      <c r="AK218" s="18"/>
      <c r="AL218" s="18"/>
      <c r="AM218" s="18">
        <v>4</v>
      </c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>
        <f t="shared" si="7"/>
        <v>4</v>
      </c>
    </row>
    <row r="219" spans="1:54" x14ac:dyDescent="0.3">
      <c r="A219" s="17" t="s">
        <v>328</v>
      </c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9"/>
      <c r="M219" s="18"/>
      <c r="N219" s="18"/>
      <c r="O219" s="18"/>
      <c r="P219" s="18"/>
      <c r="Q219" s="18"/>
      <c r="R219" s="18"/>
      <c r="S219" s="18">
        <v>5</v>
      </c>
      <c r="T219" s="18">
        <v>2</v>
      </c>
      <c r="U219" s="18">
        <v>4</v>
      </c>
      <c r="V219" s="18">
        <v>4</v>
      </c>
      <c r="W219" s="18">
        <f t="shared" si="6"/>
        <v>15</v>
      </c>
      <c r="X219" s="16">
        <v>3028</v>
      </c>
      <c r="Y219" s="12">
        <v>45</v>
      </c>
      <c r="Z219" s="12">
        <v>0</v>
      </c>
      <c r="AA219" s="13">
        <v>2</v>
      </c>
      <c r="AB219" s="14" t="e">
        <v>#N/A</v>
      </c>
      <c r="AC219" s="14" t="e">
        <v>#N/A</v>
      </c>
      <c r="AD219" s="15"/>
      <c r="AE219" s="18"/>
      <c r="AF219" s="19"/>
      <c r="AG219" s="18"/>
      <c r="AH219" s="18"/>
      <c r="AI219" s="18"/>
      <c r="AJ219" s="18">
        <v>15</v>
      </c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>
        <f t="shared" si="7"/>
        <v>15</v>
      </c>
    </row>
    <row r="220" spans="1:54" x14ac:dyDescent="0.3">
      <c r="A220" s="17" t="s">
        <v>330</v>
      </c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9"/>
      <c r="M220" s="18"/>
      <c r="N220" s="18"/>
      <c r="O220" s="18"/>
      <c r="P220" s="18"/>
      <c r="Q220" s="18"/>
      <c r="R220" s="18"/>
      <c r="S220" s="18">
        <v>1</v>
      </c>
      <c r="T220" s="18">
        <v>1</v>
      </c>
      <c r="U220" s="18">
        <v>2</v>
      </c>
      <c r="V220" s="18">
        <v>2</v>
      </c>
      <c r="W220" s="18">
        <f t="shared" si="6"/>
        <v>6</v>
      </c>
      <c r="X220" s="16">
        <v>3028</v>
      </c>
      <c r="Y220" s="12">
        <v>22</v>
      </c>
      <c r="Z220" s="12">
        <v>0</v>
      </c>
      <c r="AA220" s="13">
        <v>1</v>
      </c>
      <c r="AB220" s="14" t="e">
        <v>#N/A</v>
      </c>
      <c r="AC220" s="14" t="e">
        <v>#N/A</v>
      </c>
      <c r="AD220" s="15"/>
      <c r="AE220" s="18"/>
      <c r="AF220" s="19"/>
      <c r="AG220" s="18"/>
      <c r="AH220" s="18"/>
      <c r="AI220" s="18"/>
      <c r="AJ220" s="18"/>
      <c r="AK220" s="18"/>
      <c r="AL220" s="18"/>
      <c r="AM220" s="18">
        <v>6</v>
      </c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>
        <f t="shared" si="7"/>
        <v>6</v>
      </c>
    </row>
    <row r="221" spans="1:54" x14ac:dyDescent="0.3">
      <c r="A221" s="17" t="s">
        <v>331</v>
      </c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9"/>
      <c r="M221" s="18"/>
      <c r="N221" s="18"/>
      <c r="O221" s="18"/>
      <c r="P221" s="18"/>
      <c r="Q221" s="18"/>
      <c r="R221" s="18"/>
      <c r="S221" s="18">
        <v>13</v>
      </c>
      <c r="T221" s="18">
        <v>8</v>
      </c>
      <c r="U221" s="18">
        <v>16</v>
      </c>
      <c r="V221" s="18">
        <v>16</v>
      </c>
      <c r="W221" s="18">
        <f t="shared" si="6"/>
        <v>53</v>
      </c>
      <c r="X221" s="16">
        <v>3028</v>
      </c>
      <c r="Y221" s="12">
        <v>179</v>
      </c>
      <c r="Z221" s="12">
        <v>0</v>
      </c>
      <c r="AA221" s="13">
        <v>8</v>
      </c>
      <c r="AB221" s="14" t="e">
        <v>#N/A</v>
      </c>
      <c r="AC221" s="14" t="e">
        <v>#N/A</v>
      </c>
      <c r="AD221" s="15"/>
      <c r="AE221" s="18"/>
      <c r="AF221" s="19"/>
      <c r="AG221" s="18"/>
      <c r="AH221" s="18"/>
      <c r="AI221" s="18"/>
      <c r="AJ221" s="18"/>
      <c r="AK221" s="18"/>
      <c r="AL221" s="18"/>
      <c r="AM221" s="18">
        <v>53</v>
      </c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>
        <f t="shared" si="7"/>
        <v>53</v>
      </c>
    </row>
    <row r="222" spans="1:54" x14ac:dyDescent="0.3">
      <c r="A222" s="17" t="s">
        <v>333</v>
      </c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9"/>
      <c r="M222" s="18"/>
      <c r="N222" s="18"/>
      <c r="O222" s="18"/>
      <c r="P222" s="18"/>
      <c r="Q222" s="18"/>
      <c r="R222" s="18"/>
      <c r="S222" s="18">
        <v>2</v>
      </c>
      <c r="T222" s="18">
        <v>1</v>
      </c>
      <c r="U222" s="18">
        <v>2</v>
      </c>
      <c r="V222" s="18">
        <v>2</v>
      </c>
      <c r="W222" s="18">
        <f t="shared" si="6"/>
        <v>7</v>
      </c>
      <c r="X222" s="16">
        <v>3028</v>
      </c>
      <c r="Y222" s="12">
        <v>22</v>
      </c>
      <c r="Z222" s="12">
        <v>0</v>
      </c>
      <c r="AA222" s="13">
        <v>1</v>
      </c>
      <c r="AB222" s="14" t="e">
        <v>#N/A</v>
      </c>
      <c r="AC222" s="14" t="e">
        <v>#N/A</v>
      </c>
      <c r="AD222" s="15"/>
      <c r="AE222" s="18"/>
      <c r="AF222" s="19"/>
      <c r="AG222" s="18">
        <v>6</v>
      </c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>
        <v>1</v>
      </c>
      <c r="AT222" s="18"/>
      <c r="AU222" s="18"/>
      <c r="AV222" s="18"/>
      <c r="AW222" s="18"/>
      <c r="AX222" s="18"/>
      <c r="AY222" s="18"/>
      <c r="AZ222" s="18"/>
      <c r="BA222" s="18"/>
      <c r="BB222" s="18">
        <f t="shared" si="7"/>
        <v>7</v>
      </c>
    </row>
    <row r="223" spans="1:54" x14ac:dyDescent="0.3">
      <c r="A223" s="17" t="s">
        <v>335</v>
      </c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9"/>
      <c r="M223" s="18"/>
      <c r="N223" s="18"/>
      <c r="O223" s="18"/>
      <c r="P223" s="18"/>
      <c r="Q223" s="18"/>
      <c r="R223" s="18"/>
      <c r="S223" s="18"/>
      <c r="T223" s="18"/>
      <c r="U223" s="18">
        <v>2</v>
      </c>
      <c r="V223" s="18">
        <v>2</v>
      </c>
      <c r="W223" s="18">
        <f t="shared" si="6"/>
        <v>4</v>
      </c>
      <c r="X223" s="16">
        <v>3028</v>
      </c>
      <c r="Y223" s="12">
        <v>23</v>
      </c>
      <c r="Z223" s="12">
        <v>0</v>
      </c>
      <c r="AA223" s="13">
        <v>1</v>
      </c>
      <c r="AB223" s="14" t="e">
        <v>#N/A</v>
      </c>
      <c r="AC223" s="14" t="e">
        <v>#N/A</v>
      </c>
      <c r="AD223" s="15"/>
      <c r="AE223" s="18"/>
      <c r="AF223" s="19"/>
      <c r="AG223" s="18"/>
      <c r="AH223" s="18"/>
      <c r="AI223" s="18"/>
      <c r="AJ223" s="18"/>
      <c r="AK223" s="18"/>
      <c r="AL223" s="18"/>
      <c r="AM223" s="18"/>
      <c r="AN223" s="18"/>
      <c r="AO223" s="18">
        <v>4</v>
      </c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>
        <f t="shared" si="7"/>
        <v>4</v>
      </c>
    </row>
    <row r="224" spans="1:54" x14ac:dyDescent="0.3">
      <c r="A224" s="17" t="s">
        <v>336</v>
      </c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9"/>
      <c r="M224" s="18"/>
      <c r="N224" s="18"/>
      <c r="O224" s="18"/>
      <c r="P224" s="18"/>
      <c r="Q224" s="18"/>
      <c r="R224" s="18">
        <v>2</v>
      </c>
      <c r="S224" s="18">
        <v>2</v>
      </c>
      <c r="T224" s="18">
        <v>2</v>
      </c>
      <c r="U224" s="18">
        <v>2</v>
      </c>
      <c r="V224" s="18">
        <v>2</v>
      </c>
      <c r="W224" s="18">
        <f t="shared" si="6"/>
        <v>10</v>
      </c>
      <c r="X224" s="16">
        <v>3029</v>
      </c>
      <c r="Y224" s="12">
        <v>23</v>
      </c>
      <c r="Z224" s="12">
        <v>0</v>
      </c>
      <c r="AA224" s="13">
        <v>1</v>
      </c>
      <c r="AB224" s="14" t="e">
        <v>#N/A</v>
      </c>
      <c r="AC224" s="14" t="e">
        <v>#N/A</v>
      </c>
      <c r="AD224" s="15"/>
      <c r="AE224" s="18"/>
      <c r="AF224" s="19"/>
      <c r="AG224" s="18"/>
      <c r="AH224" s="18"/>
      <c r="AI224" s="18"/>
      <c r="AJ224" s="18">
        <v>4</v>
      </c>
      <c r="AK224" s="18"/>
      <c r="AL224" s="18"/>
      <c r="AM224" s="18"/>
      <c r="AN224" s="18"/>
      <c r="AO224" s="18"/>
      <c r="AP224" s="18"/>
      <c r="AQ224" s="18">
        <v>6</v>
      </c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>
        <f t="shared" si="7"/>
        <v>10</v>
      </c>
    </row>
    <row r="225" spans="1:54" x14ac:dyDescent="0.3">
      <c r="A225" s="17" t="s">
        <v>338</v>
      </c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9"/>
      <c r="M225" s="18"/>
      <c r="N225" s="18"/>
      <c r="O225" s="18"/>
      <c r="P225" s="18"/>
      <c r="Q225" s="18"/>
      <c r="R225" s="18"/>
      <c r="S225" s="18">
        <v>4</v>
      </c>
      <c r="T225" s="18">
        <v>6</v>
      </c>
      <c r="U225" s="18">
        <v>12</v>
      </c>
      <c r="V225" s="18">
        <v>12</v>
      </c>
      <c r="W225" s="18">
        <f t="shared" si="6"/>
        <v>34</v>
      </c>
      <c r="X225" s="16">
        <v>3029</v>
      </c>
      <c r="Y225" s="12">
        <v>140</v>
      </c>
      <c r="Z225" s="12">
        <v>0</v>
      </c>
      <c r="AA225" s="13">
        <v>6</v>
      </c>
      <c r="AB225" s="14" t="e">
        <v>#N/A</v>
      </c>
      <c r="AC225" s="14" t="e">
        <v>#N/A</v>
      </c>
      <c r="AD225" s="15"/>
      <c r="AE225" s="18"/>
      <c r="AF225" s="19"/>
      <c r="AG225" s="18"/>
      <c r="AH225" s="18">
        <v>10</v>
      </c>
      <c r="AI225" s="18"/>
      <c r="AJ225" s="18"/>
      <c r="AK225" s="18"/>
      <c r="AL225" s="18"/>
      <c r="AM225" s="18"/>
      <c r="AN225" s="18"/>
      <c r="AO225" s="18"/>
      <c r="AP225" s="18">
        <v>24</v>
      </c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>
        <f t="shared" si="7"/>
        <v>34</v>
      </c>
    </row>
    <row r="226" spans="1:54" x14ac:dyDescent="0.3">
      <c r="A226" s="17" t="s">
        <v>341</v>
      </c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9"/>
      <c r="M226" s="18"/>
      <c r="N226" s="18"/>
      <c r="O226" s="18"/>
      <c r="P226" s="18"/>
      <c r="Q226" s="18"/>
      <c r="R226" s="18"/>
      <c r="S226" s="18"/>
      <c r="T226" s="18"/>
      <c r="U226" s="18">
        <v>1</v>
      </c>
      <c r="V226" s="18">
        <v>2</v>
      </c>
      <c r="W226" s="18">
        <f t="shared" si="6"/>
        <v>3</v>
      </c>
      <c r="X226" s="16">
        <v>3029</v>
      </c>
      <c r="Y226" s="12">
        <v>23</v>
      </c>
      <c r="Z226" s="12">
        <v>0</v>
      </c>
      <c r="AA226" s="13">
        <v>1</v>
      </c>
      <c r="AB226" s="14" t="e">
        <v>#N/A</v>
      </c>
      <c r="AC226" s="14" t="e">
        <v>#N/A</v>
      </c>
      <c r="AD226" s="15"/>
      <c r="AE226" s="18"/>
      <c r="AF226" s="19"/>
      <c r="AG226" s="18"/>
      <c r="AH226" s="18"/>
      <c r="AI226" s="18"/>
      <c r="AJ226" s="18"/>
      <c r="AK226" s="18"/>
      <c r="AL226" s="18"/>
      <c r="AM226" s="18"/>
      <c r="AN226" s="18"/>
      <c r="AO226" s="18">
        <v>3</v>
      </c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>
        <f t="shared" si="7"/>
        <v>3</v>
      </c>
    </row>
    <row r="227" spans="1:54" x14ac:dyDescent="0.3">
      <c r="A227" s="17" t="s">
        <v>342</v>
      </c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9"/>
      <c r="M227" s="18"/>
      <c r="N227" s="18"/>
      <c r="O227" s="18"/>
      <c r="P227" s="18"/>
      <c r="Q227" s="18"/>
      <c r="R227" s="18"/>
      <c r="S227" s="18"/>
      <c r="T227" s="18"/>
      <c r="U227" s="18"/>
      <c r="V227" s="18">
        <v>1</v>
      </c>
      <c r="W227" s="18">
        <f t="shared" si="6"/>
        <v>1</v>
      </c>
      <c r="X227" s="16">
        <v>3029</v>
      </c>
      <c r="Y227" s="12">
        <v>24</v>
      </c>
      <c r="Z227" s="12">
        <v>0</v>
      </c>
      <c r="AA227" s="13">
        <v>1</v>
      </c>
      <c r="AB227" s="14" t="e">
        <v>#N/A</v>
      </c>
      <c r="AC227" s="14" t="e">
        <v>#N/A</v>
      </c>
      <c r="AD227" s="15"/>
      <c r="AE227" s="18"/>
      <c r="AF227" s="19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>
        <v>1</v>
      </c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>
        <f t="shared" si="7"/>
        <v>1</v>
      </c>
    </row>
    <row r="228" spans="1:54" x14ac:dyDescent="0.3">
      <c r="A228" s="17" t="s">
        <v>343</v>
      </c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9"/>
      <c r="M228" s="18"/>
      <c r="N228" s="18"/>
      <c r="O228" s="18"/>
      <c r="P228" s="18"/>
      <c r="Q228" s="18"/>
      <c r="R228" s="18"/>
      <c r="S228" s="18"/>
      <c r="T228" s="18">
        <v>1</v>
      </c>
      <c r="U228" s="18">
        <v>2</v>
      </c>
      <c r="V228" s="18">
        <v>2</v>
      </c>
      <c r="W228" s="18">
        <f t="shared" si="6"/>
        <v>5</v>
      </c>
      <c r="X228" s="16">
        <v>3030</v>
      </c>
      <c r="Y228" s="12">
        <v>24</v>
      </c>
      <c r="Z228" s="12">
        <v>0</v>
      </c>
      <c r="AA228" s="13">
        <v>1</v>
      </c>
      <c r="AB228" s="14" t="e">
        <v>#N/A</v>
      </c>
      <c r="AC228" s="14" t="e">
        <v>#N/A</v>
      </c>
      <c r="AD228" s="15"/>
      <c r="AE228" s="18"/>
      <c r="AF228" s="19"/>
      <c r="AG228" s="18">
        <v>4</v>
      </c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>
        <v>1</v>
      </c>
      <c r="AT228" s="18"/>
      <c r="AU228" s="18"/>
      <c r="AV228" s="18"/>
      <c r="AW228" s="18"/>
      <c r="AX228" s="18"/>
      <c r="AY228" s="18"/>
      <c r="AZ228" s="18"/>
      <c r="BA228" s="18"/>
      <c r="BB228" s="18">
        <f t="shared" si="7"/>
        <v>5</v>
      </c>
    </row>
    <row r="229" spans="1:54" x14ac:dyDescent="0.3">
      <c r="A229" s="17" t="s">
        <v>344</v>
      </c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9"/>
      <c r="M229" s="18"/>
      <c r="N229" s="18"/>
      <c r="O229" s="18"/>
      <c r="P229" s="18"/>
      <c r="Q229" s="18"/>
      <c r="R229" s="18"/>
      <c r="S229" s="18"/>
      <c r="T229" s="18"/>
      <c r="U229" s="18"/>
      <c r="V229" s="18">
        <v>2</v>
      </c>
      <c r="W229" s="18">
        <f t="shared" si="6"/>
        <v>2</v>
      </c>
      <c r="X229" s="16">
        <v>3030</v>
      </c>
      <c r="Y229" s="12">
        <v>24</v>
      </c>
      <c r="Z229" s="12">
        <v>0</v>
      </c>
      <c r="AA229" s="13">
        <v>1</v>
      </c>
      <c r="AB229" s="14" t="e">
        <v>#N/A</v>
      </c>
      <c r="AC229" s="14" t="e">
        <v>#N/A</v>
      </c>
      <c r="AD229" s="15"/>
      <c r="AE229" s="18"/>
      <c r="AF229" s="19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>
        <v>2</v>
      </c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>
        <f t="shared" si="7"/>
        <v>2</v>
      </c>
    </row>
    <row r="230" spans="1:54" x14ac:dyDescent="0.3">
      <c r="A230" s="17" t="s">
        <v>345</v>
      </c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9"/>
      <c r="M230" s="18"/>
      <c r="N230" s="18"/>
      <c r="O230" s="18"/>
      <c r="P230" s="18"/>
      <c r="Q230" s="18"/>
      <c r="R230" s="18"/>
      <c r="S230" s="18">
        <v>2</v>
      </c>
      <c r="T230" s="18">
        <v>2</v>
      </c>
      <c r="U230" s="18">
        <v>2</v>
      </c>
      <c r="V230" s="18">
        <v>2</v>
      </c>
      <c r="W230" s="18">
        <f t="shared" si="6"/>
        <v>8</v>
      </c>
      <c r="X230" s="16">
        <v>3030</v>
      </c>
      <c r="Y230" s="12">
        <v>25</v>
      </c>
      <c r="Z230" s="12">
        <v>0</v>
      </c>
      <c r="AA230" s="13">
        <v>1</v>
      </c>
      <c r="AB230" s="14" t="e">
        <v>#N/A</v>
      </c>
      <c r="AC230" s="14" t="e">
        <v>#N/A</v>
      </c>
      <c r="AD230" s="15"/>
      <c r="AE230" s="18"/>
      <c r="AF230" s="19"/>
      <c r="AG230" s="18"/>
      <c r="AH230" s="18"/>
      <c r="AI230" s="18"/>
      <c r="AJ230" s="18"/>
      <c r="AK230" s="18"/>
      <c r="AL230" s="18"/>
      <c r="AM230" s="18"/>
      <c r="AN230" s="18">
        <v>8</v>
      </c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>
        <f t="shared" si="7"/>
        <v>8</v>
      </c>
    </row>
    <row r="231" spans="1:54" x14ac:dyDescent="0.3">
      <c r="A231" s="17" t="s">
        <v>347</v>
      </c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9"/>
      <c r="M231" s="18"/>
      <c r="N231" s="18"/>
      <c r="O231" s="18"/>
      <c r="P231" s="18"/>
      <c r="Q231" s="18"/>
      <c r="R231" s="18"/>
      <c r="S231" s="18"/>
      <c r="T231" s="18"/>
      <c r="U231" s="18">
        <v>2</v>
      </c>
      <c r="V231" s="18">
        <v>4</v>
      </c>
      <c r="W231" s="18">
        <f t="shared" si="6"/>
        <v>6</v>
      </c>
      <c r="X231" s="16">
        <v>3031</v>
      </c>
      <c r="Y231" s="12">
        <v>50</v>
      </c>
      <c r="Z231" s="12">
        <v>0</v>
      </c>
      <c r="AA231" s="13">
        <v>2</v>
      </c>
      <c r="AB231" s="14" t="e">
        <v>#N/A</v>
      </c>
      <c r="AC231" s="14" t="e">
        <v>#N/A</v>
      </c>
      <c r="AD231" s="15"/>
      <c r="AE231" s="18"/>
      <c r="AF231" s="19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>
        <v>6</v>
      </c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>
        <f t="shared" si="7"/>
        <v>6</v>
      </c>
    </row>
    <row r="232" spans="1:54" x14ac:dyDescent="0.3">
      <c r="A232" s="17" t="s">
        <v>348</v>
      </c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9"/>
      <c r="M232" s="18"/>
      <c r="N232" s="18"/>
      <c r="O232" s="18"/>
      <c r="P232" s="18"/>
      <c r="Q232" s="18"/>
      <c r="R232" s="18"/>
      <c r="S232" s="18"/>
      <c r="T232" s="18"/>
      <c r="U232" s="18">
        <v>2</v>
      </c>
      <c r="V232" s="18">
        <v>2</v>
      </c>
      <c r="W232" s="18">
        <f t="shared" si="6"/>
        <v>4</v>
      </c>
      <c r="X232" s="16">
        <v>3031</v>
      </c>
      <c r="Y232" s="12">
        <v>25</v>
      </c>
      <c r="Z232" s="12">
        <v>0</v>
      </c>
      <c r="AA232" s="13">
        <v>1</v>
      </c>
      <c r="AB232" s="14" t="e">
        <v>#N/A</v>
      </c>
      <c r="AC232" s="14" t="e">
        <v>#N/A</v>
      </c>
      <c r="AD232" s="15"/>
      <c r="AE232" s="18"/>
      <c r="AF232" s="19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>
        <v>4</v>
      </c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>
        <f t="shared" si="7"/>
        <v>4</v>
      </c>
    </row>
    <row r="233" spans="1:54" x14ac:dyDescent="0.3">
      <c r="A233" s="17" t="s">
        <v>349</v>
      </c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9"/>
      <c r="M233" s="18"/>
      <c r="N233" s="18"/>
      <c r="O233" s="18"/>
      <c r="P233" s="18"/>
      <c r="Q233" s="18"/>
      <c r="R233" s="18"/>
      <c r="S233" s="18"/>
      <c r="T233" s="18">
        <v>2</v>
      </c>
      <c r="U233" s="18">
        <v>2</v>
      </c>
      <c r="V233" s="18">
        <v>2</v>
      </c>
      <c r="W233" s="18">
        <f t="shared" si="6"/>
        <v>6</v>
      </c>
      <c r="X233" s="16">
        <v>3031</v>
      </c>
      <c r="Y233" s="12">
        <v>25</v>
      </c>
      <c r="Z233" s="12">
        <v>0</v>
      </c>
      <c r="AA233" s="13">
        <v>1</v>
      </c>
      <c r="AB233" s="14" t="e">
        <v>#N/A</v>
      </c>
      <c r="AC233" s="14" t="e">
        <v>#N/A</v>
      </c>
      <c r="AD233" s="15"/>
      <c r="AE233" s="18"/>
      <c r="AF233" s="19"/>
      <c r="AG233" s="18">
        <v>6</v>
      </c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>
        <f t="shared" si="7"/>
        <v>6</v>
      </c>
    </row>
    <row r="234" spans="1:54" x14ac:dyDescent="0.3">
      <c r="A234" s="17" t="s">
        <v>350</v>
      </c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9"/>
      <c r="M234" s="18"/>
      <c r="N234" s="18"/>
      <c r="O234" s="18"/>
      <c r="P234" s="18"/>
      <c r="Q234" s="18"/>
      <c r="R234" s="18"/>
      <c r="S234" s="18"/>
      <c r="T234" s="18">
        <v>1</v>
      </c>
      <c r="U234" s="18">
        <v>2</v>
      </c>
      <c r="V234" s="18">
        <v>2</v>
      </c>
      <c r="W234" s="18">
        <f t="shared" si="6"/>
        <v>5</v>
      </c>
      <c r="X234" s="16">
        <v>3031</v>
      </c>
      <c r="Y234" s="12">
        <v>25</v>
      </c>
      <c r="Z234" s="12">
        <v>0</v>
      </c>
      <c r="AA234" s="13">
        <v>1</v>
      </c>
      <c r="AB234" s="14" t="e">
        <v>#N/A</v>
      </c>
      <c r="AC234" s="14" t="e">
        <v>#N/A</v>
      </c>
      <c r="AD234" s="15"/>
      <c r="AE234" s="18"/>
      <c r="AF234" s="19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>
        <v>5</v>
      </c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>
        <f t="shared" si="7"/>
        <v>5</v>
      </c>
    </row>
    <row r="235" spans="1:54" x14ac:dyDescent="0.3">
      <c r="A235" s="17" t="s">
        <v>352</v>
      </c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9"/>
      <c r="M235" s="18"/>
      <c r="N235" s="18"/>
      <c r="O235" s="18"/>
      <c r="P235" s="18"/>
      <c r="Q235" s="18"/>
      <c r="R235" s="18"/>
      <c r="S235" s="18">
        <v>4</v>
      </c>
      <c r="T235" s="18">
        <v>4</v>
      </c>
      <c r="U235" s="18">
        <v>8</v>
      </c>
      <c r="V235" s="18">
        <v>8</v>
      </c>
      <c r="W235" s="18">
        <f t="shared" si="6"/>
        <v>24</v>
      </c>
      <c r="X235" s="16">
        <v>3032</v>
      </c>
      <c r="Y235" s="12">
        <v>104</v>
      </c>
      <c r="Z235" s="12">
        <v>0</v>
      </c>
      <c r="AA235" s="13">
        <v>4</v>
      </c>
      <c r="AB235" s="14" t="e">
        <v>#N/A</v>
      </c>
      <c r="AC235" s="14" t="e">
        <v>#N/A</v>
      </c>
      <c r="AD235" s="15"/>
      <c r="AE235" s="18"/>
      <c r="AF235" s="19"/>
      <c r="AG235" s="18"/>
      <c r="AH235" s="18"/>
      <c r="AI235" s="18"/>
      <c r="AJ235" s="18"/>
      <c r="AK235" s="18"/>
      <c r="AL235" s="18">
        <v>4</v>
      </c>
      <c r="AM235" s="18"/>
      <c r="AN235" s="18"/>
      <c r="AO235" s="18"/>
      <c r="AP235" s="18"/>
      <c r="AQ235" s="18"/>
      <c r="AR235" s="18">
        <v>20</v>
      </c>
      <c r="AS235" s="18"/>
      <c r="AT235" s="18"/>
      <c r="AU235" s="18"/>
      <c r="AV235" s="18"/>
      <c r="AW235" s="18"/>
      <c r="AX235" s="18"/>
      <c r="AY235" s="18"/>
      <c r="AZ235" s="18"/>
      <c r="BA235" s="18"/>
      <c r="BB235" s="18">
        <f t="shared" si="7"/>
        <v>24</v>
      </c>
    </row>
    <row r="236" spans="1:54" x14ac:dyDescent="0.3">
      <c r="A236" s="17" t="s">
        <v>354</v>
      </c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9"/>
      <c r="M236" s="18"/>
      <c r="N236" s="18"/>
      <c r="O236" s="18"/>
      <c r="P236" s="18"/>
      <c r="Q236" s="18"/>
      <c r="R236" s="18"/>
      <c r="S236" s="18"/>
      <c r="T236" s="18">
        <v>1</v>
      </c>
      <c r="U236" s="18">
        <v>2</v>
      </c>
      <c r="V236" s="18">
        <v>2</v>
      </c>
      <c r="W236" s="18">
        <f t="shared" si="6"/>
        <v>5</v>
      </c>
      <c r="X236" s="16">
        <v>3032</v>
      </c>
      <c r="Y236" s="12">
        <v>26</v>
      </c>
      <c r="Z236" s="12">
        <v>0</v>
      </c>
      <c r="AA236" s="13">
        <v>1</v>
      </c>
      <c r="AB236" s="14" t="e">
        <v>#N/A</v>
      </c>
      <c r="AC236" s="14" t="e">
        <v>#N/A</v>
      </c>
      <c r="AD236" s="15"/>
      <c r="AE236" s="18"/>
      <c r="AF236" s="19"/>
      <c r="AG236" s="18"/>
      <c r="AH236" s="18"/>
      <c r="AI236" s="18"/>
      <c r="AJ236" s="18"/>
      <c r="AK236" s="18"/>
      <c r="AL236" s="18"/>
      <c r="AM236" s="18">
        <v>3</v>
      </c>
      <c r="AN236" s="18"/>
      <c r="AO236" s="18"/>
      <c r="AP236" s="18"/>
      <c r="AQ236" s="18"/>
      <c r="AR236" s="18">
        <v>2</v>
      </c>
      <c r="AS236" s="18"/>
      <c r="AT236" s="18"/>
      <c r="AU236" s="18"/>
      <c r="AV236" s="18"/>
      <c r="AW236" s="18"/>
      <c r="AX236" s="18"/>
      <c r="AY236" s="18"/>
      <c r="AZ236" s="18"/>
      <c r="BA236" s="18"/>
      <c r="BB236" s="18">
        <f t="shared" si="7"/>
        <v>5</v>
      </c>
    </row>
    <row r="237" spans="1:54" x14ac:dyDescent="0.3">
      <c r="A237" s="17" t="s">
        <v>355</v>
      </c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9"/>
      <c r="M237" s="18"/>
      <c r="N237" s="18"/>
      <c r="O237" s="18"/>
      <c r="P237" s="18"/>
      <c r="Q237" s="18"/>
      <c r="R237" s="18"/>
      <c r="S237" s="18"/>
      <c r="T237" s="18">
        <v>1</v>
      </c>
      <c r="U237" s="18">
        <v>2</v>
      </c>
      <c r="V237" s="18">
        <v>2</v>
      </c>
      <c r="W237" s="18">
        <f t="shared" si="6"/>
        <v>5</v>
      </c>
      <c r="X237" s="16">
        <v>3032</v>
      </c>
      <c r="Y237" s="12">
        <v>26</v>
      </c>
      <c r="Z237" s="12">
        <v>0</v>
      </c>
      <c r="AA237" s="13">
        <v>1</v>
      </c>
      <c r="AB237" s="14" t="e">
        <v>#N/A</v>
      </c>
      <c r="AC237" s="14" t="e">
        <v>#N/A</v>
      </c>
      <c r="AD237" s="15"/>
      <c r="AE237" s="18"/>
      <c r="AF237" s="19"/>
      <c r="AG237" s="18"/>
      <c r="AH237" s="18"/>
      <c r="AI237" s="18"/>
      <c r="AJ237" s="18"/>
      <c r="AK237" s="18"/>
      <c r="AL237" s="18">
        <v>3</v>
      </c>
      <c r="AM237" s="18"/>
      <c r="AN237" s="18"/>
      <c r="AO237" s="18"/>
      <c r="AP237" s="18"/>
      <c r="AQ237" s="18"/>
      <c r="AR237" s="18">
        <v>2</v>
      </c>
      <c r="AS237" s="18"/>
      <c r="AT237" s="18"/>
      <c r="AU237" s="18"/>
      <c r="AV237" s="18"/>
      <c r="AW237" s="18"/>
      <c r="AX237" s="18"/>
      <c r="AY237" s="18"/>
      <c r="AZ237" s="18"/>
      <c r="BA237" s="18"/>
      <c r="BB237" s="18">
        <f t="shared" si="7"/>
        <v>5</v>
      </c>
    </row>
    <row r="238" spans="1:54" x14ac:dyDescent="0.3">
      <c r="A238" s="17" t="s">
        <v>339</v>
      </c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9"/>
      <c r="M238" s="18"/>
      <c r="N238" s="18"/>
      <c r="O238" s="18"/>
      <c r="P238" s="18"/>
      <c r="Q238" s="18"/>
      <c r="R238" s="18"/>
      <c r="S238" s="18"/>
      <c r="T238" s="18"/>
      <c r="U238" s="18"/>
      <c r="V238" s="18">
        <v>1</v>
      </c>
      <c r="W238" s="18">
        <f t="shared" si="6"/>
        <v>1</v>
      </c>
      <c r="X238" s="16">
        <v>3033</v>
      </c>
      <c r="Y238" s="12">
        <v>23</v>
      </c>
      <c r="Z238" s="12">
        <v>0</v>
      </c>
      <c r="AA238" s="13">
        <v>1</v>
      </c>
      <c r="AB238" s="14" t="e">
        <v>#N/A</v>
      </c>
      <c r="AC238" s="14" t="e">
        <v>#N/A</v>
      </c>
      <c r="AD238" s="15"/>
      <c r="AE238" s="18"/>
      <c r="AF238" s="19"/>
      <c r="AG238" s="18"/>
      <c r="AH238" s="18"/>
      <c r="AI238" s="18"/>
      <c r="AJ238" s="18"/>
      <c r="AK238" s="18"/>
      <c r="AL238" s="18"/>
      <c r="AM238" s="18">
        <v>1</v>
      </c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>
        <f t="shared" si="7"/>
        <v>1</v>
      </c>
    </row>
    <row r="239" spans="1:54" x14ac:dyDescent="0.3">
      <c r="A239" s="17" t="s">
        <v>356</v>
      </c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9"/>
      <c r="M239" s="18"/>
      <c r="N239" s="18"/>
      <c r="O239" s="18"/>
      <c r="P239" s="18"/>
      <c r="Q239" s="18"/>
      <c r="R239" s="18"/>
      <c r="S239" s="18"/>
      <c r="T239" s="18"/>
      <c r="U239" s="18">
        <v>2</v>
      </c>
      <c r="V239" s="18">
        <v>2</v>
      </c>
      <c r="W239" s="18">
        <f t="shared" si="6"/>
        <v>4</v>
      </c>
      <c r="X239" s="16">
        <v>3034</v>
      </c>
      <c r="Y239" s="12">
        <v>28</v>
      </c>
      <c r="Z239" s="12">
        <v>0</v>
      </c>
      <c r="AA239" s="13">
        <v>1</v>
      </c>
      <c r="AB239" s="14" t="e">
        <v>#N/A</v>
      </c>
      <c r="AC239" s="14" t="e">
        <v>#N/A</v>
      </c>
      <c r="AD239" s="15"/>
      <c r="AE239" s="18"/>
      <c r="AF239" s="19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>
        <v>4</v>
      </c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>
        <f t="shared" si="7"/>
        <v>4</v>
      </c>
    </row>
    <row r="240" spans="1:54" x14ac:dyDescent="0.3">
      <c r="A240" s="17" t="s">
        <v>357</v>
      </c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9"/>
      <c r="M240" s="18"/>
      <c r="N240" s="18"/>
      <c r="O240" s="18"/>
      <c r="P240" s="18"/>
      <c r="Q240" s="18"/>
      <c r="R240" s="18"/>
      <c r="S240" s="18"/>
      <c r="T240" s="18"/>
      <c r="U240" s="18"/>
      <c r="V240" s="18">
        <v>4</v>
      </c>
      <c r="W240" s="18">
        <f t="shared" si="6"/>
        <v>4</v>
      </c>
      <c r="X240" s="16">
        <v>3035</v>
      </c>
      <c r="Y240" s="12">
        <v>58</v>
      </c>
      <c r="Z240" s="12">
        <v>0</v>
      </c>
      <c r="AA240" s="13">
        <v>2</v>
      </c>
      <c r="AB240" s="14" t="e">
        <v>#N/A</v>
      </c>
      <c r="AC240" s="14" t="e">
        <v>#N/A</v>
      </c>
      <c r="AD240" s="15"/>
      <c r="AE240" s="18"/>
      <c r="AF240" s="19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>
        <v>4</v>
      </c>
      <c r="AS240" s="18"/>
      <c r="AT240" s="18"/>
      <c r="AU240" s="18"/>
      <c r="AV240" s="18"/>
      <c r="AW240" s="18"/>
      <c r="AX240" s="18"/>
      <c r="AY240" s="18"/>
      <c r="AZ240" s="18"/>
      <c r="BA240" s="18"/>
      <c r="BB240" s="18">
        <f t="shared" si="7"/>
        <v>4</v>
      </c>
    </row>
    <row r="241" spans="1:54" x14ac:dyDescent="0.3">
      <c r="A241" s="17" t="s">
        <v>358</v>
      </c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9"/>
      <c r="M241" s="18"/>
      <c r="N241" s="18"/>
      <c r="O241" s="18"/>
      <c r="P241" s="18"/>
      <c r="Q241" s="18"/>
      <c r="R241" s="18"/>
      <c r="S241" s="18"/>
      <c r="T241" s="18"/>
      <c r="U241" s="18">
        <v>1</v>
      </c>
      <c r="V241" s="18">
        <v>2</v>
      </c>
      <c r="W241" s="18">
        <f t="shared" si="6"/>
        <v>3</v>
      </c>
      <c r="X241" s="16">
        <v>3036</v>
      </c>
      <c r="Y241" s="12">
        <v>30</v>
      </c>
      <c r="Z241" s="12">
        <v>0</v>
      </c>
      <c r="AA241" s="13">
        <v>1</v>
      </c>
      <c r="AB241" s="14" t="e">
        <v>#N/A</v>
      </c>
      <c r="AC241" s="14" t="e">
        <v>#N/A</v>
      </c>
      <c r="AD241" s="15"/>
      <c r="AE241" s="18"/>
      <c r="AF241" s="19"/>
      <c r="AG241" s="18"/>
      <c r="AH241" s="18"/>
      <c r="AI241" s="18"/>
      <c r="AJ241" s="18"/>
      <c r="AK241" s="18"/>
      <c r="AL241" s="18"/>
      <c r="AM241" s="18"/>
      <c r="AN241" s="18"/>
      <c r="AO241" s="18">
        <v>3</v>
      </c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>
        <f t="shared" si="7"/>
        <v>3</v>
      </c>
    </row>
    <row r="242" spans="1:54" x14ac:dyDescent="0.3">
      <c r="A242" s="17" t="s">
        <v>359</v>
      </c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9"/>
      <c r="M242" s="18"/>
      <c r="N242" s="18"/>
      <c r="O242" s="18"/>
      <c r="P242" s="18"/>
      <c r="Q242" s="18"/>
      <c r="R242" s="18"/>
      <c r="S242" s="18">
        <v>10</v>
      </c>
      <c r="T242" s="18"/>
      <c r="U242" s="18"/>
      <c r="V242" s="18">
        <v>12</v>
      </c>
      <c r="W242" s="18">
        <f t="shared" si="6"/>
        <v>22</v>
      </c>
      <c r="X242" s="16">
        <v>3049</v>
      </c>
      <c r="Y242" s="12">
        <v>100</v>
      </c>
      <c r="Z242" s="12">
        <v>0</v>
      </c>
      <c r="AA242" s="13">
        <v>4</v>
      </c>
      <c r="AB242" s="14" t="e">
        <v>#N/A</v>
      </c>
      <c r="AC242" s="14" t="e">
        <v>#N/A</v>
      </c>
      <c r="AD242" s="15"/>
      <c r="AE242" s="18"/>
      <c r="AF242" s="19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>
        <v>22</v>
      </c>
      <c r="AT242" s="18"/>
      <c r="AU242" s="18"/>
      <c r="AV242" s="18"/>
      <c r="AW242" s="18"/>
      <c r="AX242" s="18"/>
      <c r="AY242" s="18"/>
      <c r="AZ242" s="18"/>
      <c r="BA242" s="18"/>
      <c r="BB242" s="18">
        <f t="shared" si="7"/>
        <v>22</v>
      </c>
    </row>
    <row r="243" spans="1:54" x14ac:dyDescent="0.3">
      <c r="A243" s="17" t="s">
        <v>360</v>
      </c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9"/>
      <c r="M243" s="18"/>
      <c r="N243" s="18"/>
      <c r="O243" s="18"/>
      <c r="P243" s="18">
        <v>1</v>
      </c>
      <c r="Q243" s="18">
        <v>3</v>
      </c>
      <c r="R243" s="18">
        <v>2</v>
      </c>
      <c r="S243" s="18">
        <v>2</v>
      </c>
      <c r="T243" s="18">
        <v>1</v>
      </c>
      <c r="U243" s="18">
        <v>2</v>
      </c>
      <c r="V243" s="18">
        <v>1</v>
      </c>
      <c r="W243" s="18">
        <f t="shared" si="6"/>
        <v>12</v>
      </c>
      <c r="X243" s="16">
        <v>3050</v>
      </c>
      <c r="Y243" s="12">
        <v>30</v>
      </c>
      <c r="Z243" s="12">
        <v>0</v>
      </c>
      <c r="AA243" s="13" t="e">
        <v>#N/A</v>
      </c>
      <c r="AB243" s="14" t="e">
        <v>#N/A</v>
      </c>
      <c r="AC243" s="14" t="e">
        <v>#N/A</v>
      </c>
      <c r="AD243" s="15"/>
      <c r="AE243" s="18"/>
      <c r="AF243" s="19"/>
      <c r="AG243" s="18">
        <v>12</v>
      </c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>
        <f t="shared" si="7"/>
        <v>12</v>
      </c>
    </row>
  </sheetData>
  <autoFilter ref="A2:BB243" xr:uid="{7801D2D9-4D31-46E9-83EB-7E4E500DC592}">
    <sortState xmlns:xlrd2="http://schemas.microsoft.com/office/spreadsheetml/2017/richdata2" ref="A3:BB243">
      <sortCondition ref="X2:X24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BFA5C-0E29-41A7-AD90-14AA5EA106D8}">
  <dimension ref="A1:AK294"/>
  <sheetViews>
    <sheetView tabSelected="1" topLeftCell="A3" zoomScale="93" zoomScaleNormal="93" workbookViewId="0">
      <selection activeCell="Q20" sqref="Q20"/>
    </sheetView>
  </sheetViews>
  <sheetFormatPr defaultColWidth="9" defaultRowHeight="15.6" x14ac:dyDescent="0.3"/>
  <cols>
    <col min="1" max="1" width="23.88671875" style="28" bestFit="1" customWidth="1"/>
    <col min="2" max="2" width="4.77734375" style="21" customWidth="1"/>
    <col min="3" max="3" width="7.77734375" style="21" customWidth="1"/>
    <col min="4" max="4" width="7" style="21" customWidth="1"/>
    <col min="5" max="5" width="7.6640625" style="22" customWidth="1"/>
    <col min="6" max="6" width="6.77734375" style="21" hidden="1" customWidth="1"/>
    <col min="7" max="7" width="7.77734375" style="21" hidden="1" customWidth="1"/>
    <col min="8" max="8" width="1.77734375" style="21" hidden="1" customWidth="1"/>
    <col min="9" max="9" width="12.44140625" style="21" customWidth="1"/>
    <col min="10" max="10" width="11.21875" style="21" customWidth="1"/>
    <col min="11" max="11" width="12.21875" style="21" customWidth="1"/>
    <col min="12" max="12" width="10.5546875" style="21" customWidth="1"/>
    <col min="13" max="13" width="38.6640625" style="21" customWidth="1"/>
    <col min="14" max="14" width="9.21875" style="23" customWidth="1"/>
    <col min="15" max="15" width="11.77734375" style="21" customWidth="1"/>
    <col min="16" max="16" width="11.21875" style="98" customWidth="1"/>
    <col min="17" max="17" width="5.88671875" style="21" customWidth="1"/>
    <col min="18" max="18" width="34.33203125" style="24" customWidth="1"/>
    <col min="19" max="16384" width="9" style="21"/>
  </cols>
  <sheetData>
    <row r="1" spans="1:37" ht="18" x14ac:dyDescent="0.35">
      <c r="A1" s="20" t="s">
        <v>362</v>
      </c>
      <c r="P1" s="21"/>
    </row>
    <row r="2" spans="1:37" ht="16.2" thickBot="1" x14ac:dyDescent="0.35">
      <c r="A2" s="25"/>
      <c r="B2" s="21" t="s">
        <v>363</v>
      </c>
      <c r="P2" s="21"/>
    </row>
    <row r="3" spans="1:37" ht="16.2" thickBot="1" x14ac:dyDescent="0.35">
      <c r="A3" s="26"/>
      <c r="B3" s="21" t="s">
        <v>364</v>
      </c>
      <c r="P3" s="21"/>
    </row>
    <row r="4" spans="1:37" x14ac:dyDescent="0.3">
      <c r="A4" s="27">
        <v>46388</v>
      </c>
      <c r="B4" s="21" t="s">
        <v>365</v>
      </c>
      <c r="P4" s="21"/>
    </row>
    <row r="5" spans="1:37" ht="16.95" customHeight="1" x14ac:dyDescent="0.3">
      <c r="P5" s="21"/>
    </row>
    <row r="6" spans="1:37" ht="58.2" customHeight="1" x14ac:dyDescent="0.3">
      <c r="A6" s="29" t="s">
        <v>0</v>
      </c>
      <c r="B6" s="30" t="s">
        <v>1</v>
      </c>
      <c r="C6" s="31" t="s">
        <v>488</v>
      </c>
      <c r="D6" s="31" t="s">
        <v>489</v>
      </c>
      <c r="E6" s="31" t="s">
        <v>366</v>
      </c>
      <c r="F6" s="31" t="s">
        <v>367</v>
      </c>
      <c r="G6" s="30" t="s">
        <v>368</v>
      </c>
      <c r="H6" s="32" t="s">
        <v>369</v>
      </c>
      <c r="I6" s="33" t="s">
        <v>370</v>
      </c>
      <c r="J6" s="32" t="s">
        <v>371</v>
      </c>
      <c r="K6" s="32" t="s">
        <v>372</v>
      </c>
      <c r="L6" s="32" t="s">
        <v>373</v>
      </c>
      <c r="M6" s="32" t="s">
        <v>374</v>
      </c>
      <c r="N6" s="32" t="s">
        <v>375</v>
      </c>
      <c r="O6" s="34" t="s">
        <v>842</v>
      </c>
      <c r="P6" s="35" t="s">
        <v>376</v>
      </c>
      <c r="Q6" s="35" t="s">
        <v>377</v>
      </c>
      <c r="R6" s="34" t="s">
        <v>841</v>
      </c>
    </row>
    <row r="7" spans="1:37" ht="27" customHeight="1" x14ac:dyDescent="0.3">
      <c r="A7" s="36" t="s">
        <v>52</v>
      </c>
      <c r="B7" s="37" t="s">
        <v>53</v>
      </c>
      <c r="C7" s="37">
        <f>VLOOKUP(A7,קוביות!A:X,24,0)</f>
        <v>3005</v>
      </c>
      <c r="D7" s="37">
        <v>2342</v>
      </c>
      <c r="E7" s="39">
        <v>12</v>
      </c>
      <c r="F7" s="57"/>
      <c r="G7" s="57"/>
      <c r="H7" s="54"/>
      <c r="I7" s="40" t="e">
        <f>VLOOKUP(A7,'[1]תכנית ייצור'!$D:$H,5,0)</f>
        <v>#N/A</v>
      </c>
      <c r="J7" s="40" t="e">
        <f>I7+6</f>
        <v>#N/A</v>
      </c>
      <c r="K7" s="40"/>
      <c r="L7" s="47"/>
      <c r="M7" s="48"/>
      <c r="N7" s="37"/>
      <c r="O7" s="50" t="s">
        <v>516</v>
      </c>
      <c r="P7" s="50" t="s">
        <v>516</v>
      </c>
      <c r="Q7" s="51"/>
      <c r="R7" s="128" t="s">
        <v>515</v>
      </c>
    </row>
    <row r="8" spans="1:37" x14ac:dyDescent="0.3">
      <c r="A8" s="36" t="s">
        <v>227</v>
      </c>
      <c r="B8" s="37"/>
      <c r="C8" s="38">
        <f>VLOOKUP(A8,קוביות!A:X,24,0)</f>
        <v>3019</v>
      </c>
      <c r="D8" s="37">
        <v>3019</v>
      </c>
      <c r="E8" s="39">
        <v>16</v>
      </c>
      <c r="F8" s="37">
        <v>1</v>
      </c>
      <c r="G8" s="37" t="e">
        <f>#REF!+(E8/F8)</f>
        <v>#REF!</v>
      </c>
      <c r="H8" s="49"/>
      <c r="I8" s="40" t="s">
        <v>382</v>
      </c>
      <c r="J8" s="40">
        <v>46252</v>
      </c>
      <c r="K8" s="40">
        <f>J8+16</f>
        <v>46268</v>
      </c>
      <c r="L8" s="47">
        <v>46238</v>
      </c>
      <c r="M8" s="48" t="s">
        <v>408</v>
      </c>
      <c r="N8" s="37"/>
      <c r="O8" s="50">
        <v>46245</v>
      </c>
      <c r="P8" s="51">
        <v>46246</v>
      </c>
      <c r="Q8" s="51"/>
      <c r="R8" s="128" t="s">
        <v>522</v>
      </c>
    </row>
    <row r="9" spans="1:37" customFormat="1" ht="25.2" customHeight="1" x14ac:dyDescent="0.3">
      <c r="A9" s="36" t="s">
        <v>24</v>
      </c>
      <c r="B9" s="37" t="s">
        <v>25</v>
      </c>
      <c r="C9" s="37">
        <f>VLOOKUP(A9,קוביות!A:X,24,0)</f>
        <v>2340</v>
      </c>
      <c r="D9" s="37">
        <v>2340</v>
      </c>
      <c r="E9" s="39">
        <v>4</v>
      </c>
      <c r="F9" s="37"/>
      <c r="G9" s="37"/>
      <c r="H9" s="37"/>
      <c r="I9" s="40">
        <v>46152</v>
      </c>
      <c r="J9" s="40" t="s">
        <v>382</v>
      </c>
      <c r="K9" s="40" t="s">
        <v>382</v>
      </c>
      <c r="L9" s="47" t="s">
        <v>382</v>
      </c>
      <c r="M9" s="48" t="s">
        <v>408</v>
      </c>
      <c r="N9" s="49" t="s">
        <v>380</v>
      </c>
      <c r="O9" s="50">
        <v>46247</v>
      </c>
      <c r="P9" s="51">
        <v>46251</v>
      </c>
      <c r="Q9" s="51"/>
      <c r="R9" s="128" t="s">
        <v>525</v>
      </c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</row>
    <row r="10" spans="1:37" ht="42.6" customHeight="1" x14ac:dyDescent="0.3">
      <c r="A10" s="203" t="s">
        <v>42</v>
      </c>
      <c r="B10" s="37" t="s">
        <v>43</v>
      </c>
      <c r="C10" s="37">
        <f>VLOOKUP(A10,קוביות!A:X,24,0)</f>
        <v>2342</v>
      </c>
      <c r="D10" s="37">
        <v>2342</v>
      </c>
      <c r="E10" s="46">
        <v>12</v>
      </c>
      <c r="F10" s="37">
        <v>1</v>
      </c>
      <c r="G10" s="37" t="e">
        <f>#REF!+(E10/F10)</f>
        <v>#REF!</v>
      </c>
      <c r="H10" s="37"/>
      <c r="I10" s="40">
        <v>46183</v>
      </c>
      <c r="J10" s="41">
        <v>46189</v>
      </c>
      <c r="K10" s="40" t="s">
        <v>386</v>
      </c>
      <c r="L10" s="47" t="s">
        <v>378</v>
      </c>
      <c r="M10" s="48" t="s">
        <v>400</v>
      </c>
      <c r="N10" s="49" t="s">
        <v>378</v>
      </c>
      <c r="O10" s="50">
        <v>46254</v>
      </c>
      <c r="P10" s="51">
        <f>VLOOKUP(A10,'הזמנות פתוחות'!A:D,4,0)</f>
        <v>46258</v>
      </c>
      <c r="Q10" s="51" t="s">
        <v>377</v>
      </c>
      <c r="R10" s="201" t="s">
        <v>835</v>
      </c>
    </row>
    <row r="11" spans="1:37" x14ac:dyDescent="0.3">
      <c r="A11" s="36" t="s">
        <v>436</v>
      </c>
      <c r="B11" s="37"/>
      <c r="C11" s="155" t="s">
        <v>435</v>
      </c>
      <c r="D11" s="155" t="s">
        <v>435</v>
      </c>
      <c r="E11" s="46">
        <v>40</v>
      </c>
      <c r="F11" s="39">
        <v>1</v>
      </c>
      <c r="G11" s="37" t="e">
        <f>#REF!+(E11/F11)</f>
        <v>#REF!</v>
      </c>
      <c r="H11" s="37"/>
      <c r="I11" s="40">
        <v>46101</v>
      </c>
      <c r="J11" s="40" t="e">
        <v>#N/A</v>
      </c>
      <c r="K11" s="40" t="e">
        <f>J11+16</f>
        <v>#N/A</v>
      </c>
      <c r="L11" s="47" t="s">
        <v>378</v>
      </c>
      <c r="M11" s="48" t="s">
        <v>378</v>
      </c>
      <c r="N11" s="49" t="s">
        <v>378</v>
      </c>
      <c r="O11" s="202">
        <v>46261</v>
      </c>
      <c r="P11" s="25">
        <f>VLOOKUP(A11,'הזמנות פתוחות'!A:D,4,0)</f>
        <v>46204</v>
      </c>
      <c r="Q11" s="44"/>
      <c r="R11" s="170" t="s">
        <v>833</v>
      </c>
    </row>
    <row r="12" spans="1:37" ht="36" customHeight="1" x14ac:dyDescent="0.3">
      <c r="A12" s="36" t="s">
        <v>318</v>
      </c>
      <c r="B12" s="151"/>
      <c r="C12" s="38">
        <f>VLOOKUP(A12,קוביות!A:X,24,0)</f>
        <v>3025</v>
      </c>
      <c r="D12" s="38">
        <v>3025</v>
      </c>
      <c r="E12" s="46" t="s">
        <v>394</v>
      </c>
      <c r="F12" s="39">
        <v>1</v>
      </c>
      <c r="G12" s="37" t="e">
        <f>#REF!+(E12/F12)</f>
        <v>#REF!</v>
      </c>
      <c r="H12" s="151"/>
      <c r="I12" s="40" t="s">
        <v>382</v>
      </c>
      <c r="J12" s="40" t="s">
        <v>382</v>
      </c>
      <c r="K12" s="40" t="s">
        <v>382</v>
      </c>
      <c r="L12" s="42"/>
      <c r="M12" s="43" t="s">
        <v>428</v>
      </c>
      <c r="N12" s="38"/>
      <c r="O12" s="202">
        <v>46261</v>
      </c>
      <c r="P12" s="25">
        <f>VLOOKUP(A12,'הזמנות פתוחות'!A:D,4,0)</f>
        <v>46434</v>
      </c>
      <c r="Q12" s="44"/>
      <c r="R12" s="170" t="s">
        <v>833</v>
      </c>
    </row>
    <row r="13" spans="1:37" ht="36" customHeight="1" x14ac:dyDescent="0.3">
      <c r="A13" s="36" t="s">
        <v>837</v>
      </c>
      <c r="B13" s="151"/>
      <c r="C13" s="38"/>
      <c r="D13" s="38"/>
      <c r="E13" s="46">
        <v>16</v>
      </c>
      <c r="F13" s="39"/>
      <c r="G13" s="37"/>
      <c r="H13" s="151"/>
      <c r="I13" s="40"/>
      <c r="J13" s="40"/>
      <c r="K13" s="40"/>
      <c r="L13" s="42"/>
      <c r="M13" s="43"/>
      <c r="N13" s="38"/>
      <c r="O13" s="202">
        <v>46261</v>
      </c>
      <c r="P13" s="25">
        <v>46448</v>
      </c>
      <c r="Q13" s="44"/>
      <c r="R13" s="170" t="s">
        <v>833</v>
      </c>
    </row>
    <row r="14" spans="1:37" ht="36" customHeight="1" x14ac:dyDescent="0.3">
      <c r="A14" s="36" t="s">
        <v>836</v>
      </c>
      <c r="B14" s="151"/>
      <c r="C14" s="38"/>
      <c r="D14" s="38"/>
      <c r="E14" s="46">
        <v>16</v>
      </c>
      <c r="F14" s="39"/>
      <c r="G14" s="37"/>
      <c r="H14" s="151"/>
      <c r="I14" s="40"/>
      <c r="J14" s="40"/>
      <c r="K14" s="40"/>
      <c r="L14" s="42"/>
      <c r="M14" s="43"/>
      <c r="N14" s="38"/>
      <c r="O14" s="202">
        <v>46261</v>
      </c>
      <c r="P14" s="25">
        <v>46408</v>
      </c>
      <c r="Q14" s="44"/>
      <c r="R14" s="170" t="s">
        <v>833</v>
      </c>
    </row>
    <row r="15" spans="1:37" ht="28.8" x14ac:dyDescent="0.3">
      <c r="A15" s="138" t="s">
        <v>118</v>
      </c>
      <c r="B15" s="38"/>
      <c r="C15" s="38">
        <f>VLOOKUP(A15,קוביות!A:X,24,0)</f>
        <v>3015</v>
      </c>
      <c r="D15" s="38">
        <v>3015</v>
      </c>
      <c r="E15" s="46" t="s">
        <v>394</v>
      </c>
      <c r="F15" s="140">
        <v>1</v>
      </c>
      <c r="G15" s="38" t="e">
        <f>#REF!+(E15/F15)</f>
        <v>#REF!</v>
      </c>
      <c r="H15" s="38"/>
      <c r="I15" s="41" t="s">
        <v>382</v>
      </c>
      <c r="J15" s="41" t="s">
        <v>382</v>
      </c>
      <c r="K15" s="41" t="s">
        <v>382</v>
      </c>
      <c r="L15" s="42"/>
      <c r="M15" s="43">
        <v>0</v>
      </c>
      <c r="N15" s="73" t="s">
        <v>378</v>
      </c>
      <c r="O15" s="202">
        <v>46261</v>
      </c>
      <c r="P15" s="25">
        <f>VLOOKUP(A15,'הזמנות פתוחות'!A:D,4,0)</f>
        <v>46247</v>
      </c>
      <c r="Q15" s="44"/>
      <c r="R15" s="170" t="s">
        <v>833</v>
      </c>
    </row>
    <row r="16" spans="1:37" ht="21.6" customHeight="1" x14ac:dyDescent="0.3">
      <c r="A16" s="138" t="s">
        <v>442</v>
      </c>
      <c r="B16" s="38"/>
      <c r="C16" s="38" t="s">
        <v>435</v>
      </c>
      <c r="D16" s="38" t="s">
        <v>435</v>
      </c>
      <c r="E16" s="204">
        <v>10</v>
      </c>
      <c r="F16" s="57"/>
      <c r="G16" s="57"/>
      <c r="H16" s="54"/>
      <c r="I16" s="41">
        <v>46180</v>
      </c>
      <c r="J16" s="41" t="s">
        <v>382</v>
      </c>
      <c r="K16" s="41">
        <v>46243</v>
      </c>
      <c r="L16" s="42"/>
      <c r="M16" s="43" t="s">
        <v>443</v>
      </c>
      <c r="N16" s="44"/>
      <c r="O16" s="202">
        <v>46261</v>
      </c>
      <c r="P16" s="129">
        <v>46569</v>
      </c>
      <c r="Q16" s="44"/>
      <c r="R16" s="170" t="s">
        <v>833</v>
      </c>
    </row>
    <row r="17" spans="1:18" ht="21.6" customHeight="1" x14ac:dyDescent="0.3">
      <c r="A17" s="36" t="s">
        <v>303</v>
      </c>
      <c r="B17" s="37" t="s">
        <v>304</v>
      </c>
      <c r="C17" s="37">
        <f>VLOOKUP(A17,קוביות!A:X,24,0)</f>
        <v>3024</v>
      </c>
      <c r="D17" s="37">
        <v>3024</v>
      </c>
      <c r="E17" s="46">
        <v>144</v>
      </c>
      <c r="F17" s="57"/>
      <c r="G17" s="57"/>
      <c r="H17" s="54"/>
      <c r="I17" s="40" t="s">
        <v>382</v>
      </c>
      <c r="J17" s="40" t="s">
        <v>382</v>
      </c>
      <c r="K17" s="40"/>
      <c r="L17" s="47"/>
      <c r="M17" s="48">
        <v>0</v>
      </c>
      <c r="N17" s="49"/>
      <c r="O17" s="202">
        <v>46261</v>
      </c>
      <c r="P17" s="25">
        <f>VLOOKUP(A17,'הזמנות פתוחות'!A:D,4,0)</f>
        <v>46377</v>
      </c>
      <c r="Q17" s="51"/>
      <c r="R17" s="170" t="s">
        <v>833</v>
      </c>
    </row>
    <row r="18" spans="1:18" x14ac:dyDescent="0.3">
      <c r="A18" s="138" t="s">
        <v>82</v>
      </c>
      <c r="B18" s="38" t="s">
        <v>83</v>
      </c>
      <c r="C18" s="38">
        <f>VLOOKUP(A18,קוביות!A:X,24,0)</f>
        <v>3011</v>
      </c>
      <c r="D18" s="38">
        <v>3011</v>
      </c>
      <c r="E18" s="140">
        <v>52</v>
      </c>
      <c r="F18" s="38">
        <v>1</v>
      </c>
      <c r="G18" s="38" t="e">
        <f>#REF!+(E18/F18)</f>
        <v>#REF!</v>
      </c>
      <c r="H18" s="38" t="s">
        <v>389</v>
      </c>
      <c r="I18" s="41" t="s">
        <v>382</v>
      </c>
      <c r="J18" s="41">
        <v>46246</v>
      </c>
      <c r="K18" s="41">
        <v>46258</v>
      </c>
      <c r="L18" s="42"/>
      <c r="M18" s="43" t="s">
        <v>379</v>
      </c>
      <c r="N18" s="38" t="s">
        <v>380</v>
      </c>
      <c r="O18" s="202">
        <v>46261</v>
      </c>
      <c r="P18" s="25">
        <f>VLOOKUP(A18,'הזמנות פתוחות'!A:D,4,0)</f>
        <v>46266</v>
      </c>
      <c r="Q18" s="62"/>
      <c r="R18" s="196" t="s">
        <v>834</v>
      </c>
    </row>
    <row r="19" spans="1:18" x14ac:dyDescent="0.3">
      <c r="A19" s="36" t="s">
        <v>105</v>
      </c>
      <c r="B19" s="37" t="s">
        <v>106</v>
      </c>
      <c r="C19" s="37">
        <f>VLOOKUP(A19,קוביות!A:X,24,0)</f>
        <v>3014</v>
      </c>
      <c r="D19" s="37">
        <v>3014</v>
      </c>
      <c r="E19" s="39">
        <v>8</v>
      </c>
      <c r="F19" s="95">
        <v>1</v>
      </c>
      <c r="G19" s="57" t="e">
        <f>#REF!+(E19/F19)</f>
        <v>#REF!</v>
      </c>
      <c r="H19" s="95"/>
      <c r="I19" s="40">
        <v>46180</v>
      </c>
      <c r="J19" s="40">
        <v>46238</v>
      </c>
      <c r="K19" s="40">
        <v>46246</v>
      </c>
      <c r="L19" s="47">
        <v>46258</v>
      </c>
      <c r="M19" s="48" t="s">
        <v>408</v>
      </c>
      <c r="N19" s="37"/>
      <c r="O19" s="202">
        <v>46261</v>
      </c>
      <c r="P19" s="25">
        <f>VLOOKUP(A19,'הזמנות פתוחות'!A:D,4,0)</f>
        <v>46261</v>
      </c>
      <c r="Q19" s="62"/>
      <c r="R19" s="196" t="s">
        <v>834</v>
      </c>
    </row>
    <row r="20" spans="1:18" ht="19.2" customHeight="1" x14ac:dyDescent="0.3">
      <c r="A20" s="36" t="s">
        <v>35</v>
      </c>
      <c r="B20" s="37" t="s">
        <v>36</v>
      </c>
      <c r="C20" s="37">
        <f>VLOOKUP(A20,קוביות!A:X,24,0)</f>
        <v>2341</v>
      </c>
      <c r="D20" s="37">
        <v>2341</v>
      </c>
      <c r="E20" s="39">
        <v>1</v>
      </c>
      <c r="F20" s="37"/>
      <c r="G20" s="37"/>
      <c r="H20" s="37"/>
      <c r="I20" s="49" t="s">
        <v>382</v>
      </c>
      <c r="J20" s="40" t="s">
        <v>383</v>
      </c>
      <c r="K20" s="40">
        <v>46258</v>
      </c>
      <c r="L20" s="47"/>
      <c r="M20" s="48" t="s">
        <v>823</v>
      </c>
      <c r="N20" s="37"/>
      <c r="O20" s="202">
        <v>46261</v>
      </c>
      <c r="P20" s="25">
        <v>46235</v>
      </c>
      <c r="Q20" s="62"/>
      <c r="R20" s="196" t="s">
        <v>834</v>
      </c>
    </row>
    <row r="21" spans="1:18" ht="22.2" customHeight="1" x14ac:dyDescent="0.3">
      <c r="A21" s="36" t="s">
        <v>454</v>
      </c>
      <c r="B21" s="37" t="s">
        <v>455</v>
      </c>
      <c r="C21" s="193" t="s">
        <v>435</v>
      </c>
      <c r="D21" s="37" t="e">
        <v>#N/A</v>
      </c>
      <c r="E21" s="39">
        <v>2</v>
      </c>
      <c r="F21" s="37">
        <v>1</v>
      </c>
      <c r="G21" s="37" t="e">
        <f>#REF!+(E21/F21)</f>
        <v>#REF!</v>
      </c>
      <c r="H21" s="37"/>
      <c r="I21" s="40">
        <v>46201</v>
      </c>
      <c r="J21" s="40">
        <v>46237</v>
      </c>
      <c r="K21" s="40">
        <f>J21+16</f>
        <v>46253</v>
      </c>
      <c r="L21" s="47" t="s">
        <v>378</v>
      </c>
      <c r="M21" s="48" t="s">
        <v>379</v>
      </c>
      <c r="N21" s="37" t="s">
        <v>380</v>
      </c>
      <c r="O21" s="202">
        <v>46261</v>
      </c>
      <c r="P21" s="195">
        <f>VLOOKUP(A21,'הזמנות פתוחות'!A:D,4,0)</f>
        <v>46253</v>
      </c>
      <c r="Q21" s="62" t="s">
        <v>377</v>
      </c>
      <c r="R21" s="196" t="s">
        <v>832</v>
      </c>
    </row>
    <row r="22" spans="1:18" ht="20.399999999999999" customHeight="1" x14ac:dyDescent="0.3">
      <c r="A22" s="36" t="s">
        <v>440</v>
      </c>
      <c r="B22" s="37"/>
      <c r="C22" s="193" t="s">
        <v>435</v>
      </c>
      <c r="D22" s="37" t="s">
        <v>435</v>
      </c>
      <c r="E22" s="39">
        <v>60</v>
      </c>
      <c r="F22" s="39">
        <v>1</v>
      </c>
      <c r="G22" s="37" t="e">
        <f>#REF!+(E22/F22)</f>
        <v>#REF!</v>
      </c>
      <c r="H22" s="37"/>
      <c r="I22" s="40" t="e">
        <v>#N/A</v>
      </c>
      <c r="J22" s="40">
        <v>46238</v>
      </c>
      <c r="K22" s="40">
        <v>46250</v>
      </c>
      <c r="L22" s="47"/>
      <c r="M22" s="48" t="s">
        <v>391</v>
      </c>
      <c r="N22" s="51"/>
      <c r="O22" s="129" t="s">
        <v>410</v>
      </c>
      <c r="P22" s="195">
        <f>VLOOKUP(A22,'הזמנות פתוחות'!A:D,4,0)</f>
        <v>46250</v>
      </c>
      <c r="Q22" s="62"/>
      <c r="R22" s="170" t="s">
        <v>833</v>
      </c>
    </row>
    <row r="23" spans="1:18" ht="21" customHeight="1" x14ac:dyDescent="0.3">
      <c r="A23" s="138" t="s">
        <v>444</v>
      </c>
      <c r="B23" s="175"/>
      <c r="C23" s="194" t="s">
        <v>435</v>
      </c>
      <c r="D23" s="38" t="s">
        <v>435</v>
      </c>
      <c r="E23" s="140">
        <v>12</v>
      </c>
      <c r="F23" s="38">
        <v>1</v>
      </c>
      <c r="G23" s="38" t="e">
        <f>#REF!+(E23/F23)</f>
        <v>#REF!</v>
      </c>
      <c r="H23" s="175"/>
      <c r="I23" s="41" t="s">
        <v>382</v>
      </c>
      <c r="J23" s="41">
        <v>46238</v>
      </c>
      <c r="K23" s="42">
        <v>46250</v>
      </c>
      <c r="L23" s="42"/>
      <c r="M23" s="43" t="s">
        <v>391</v>
      </c>
      <c r="N23" s="175"/>
      <c r="O23" s="129" t="s">
        <v>410</v>
      </c>
      <c r="P23" s="195">
        <f>VLOOKUP(A23,'הזמנות פתוחות'!A:D,4,0)</f>
        <v>46254</v>
      </c>
      <c r="Q23" s="62"/>
      <c r="R23" s="170" t="s">
        <v>833</v>
      </c>
    </row>
    <row r="24" spans="1:18" ht="30.6" customHeight="1" x14ac:dyDescent="0.3">
      <c r="A24" s="36" t="s">
        <v>87</v>
      </c>
      <c r="B24" s="37" t="s">
        <v>88</v>
      </c>
      <c r="C24" s="38">
        <f>VLOOKUP(A24,קוביות!A:X,24,0)</f>
        <v>3013</v>
      </c>
      <c r="D24" s="38">
        <v>3013</v>
      </c>
      <c r="E24" s="39">
        <v>54</v>
      </c>
      <c r="F24" s="39">
        <v>1</v>
      </c>
      <c r="G24" s="37" t="e">
        <f>#REF!+(E24/F24)</f>
        <v>#REF!</v>
      </c>
      <c r="H24" s="37"/>
      <c r="I24" s="40" t="s">
        <v>382</v>
      </c>
      <c r="J24" s="40" t="s">
        <v>382</v>
      </c>
      <c r="K24" s="40">
        <v>46237</v>
      </c>
      <c r="L24" s="47">
        <v>46250</v>
      </c>
      <c r="M24" s="48" t="s">
        <v>391</v>
      </c>
      <c r="N24" s="51"/>
      <c r="O24" s="129" t="s">
        <v>410</v>
      </c>
      <c r="P24" s="195">
        <f>VLOOKUP(A24,'הזמנות פתוחות'!A:D,4,0)</f>
        <v>46264</v>
      </c>
      <c r="Q24" s="62"/>
      <c r="R24" s="170" t="s">
        <v>833</v>
      </c>
    </row>
    <row r="25" spans="1:18" ht="22.8" customHeight="1" x14ac:dyDescent="0.3">
      <c r="A25" s="36" t="s">
        <v>156</v>
      </c>
      <c r="B25" s="37" t="s">
        <v>157</v>
      </c>
      <c r="C25" s="37">
        <f>VLOOKUP(A25,קוביות!A:X,24,0)</f>
        <v>3022</v>
      </c>
      <c r="D25" s="37">
        <v>3017</v>
      </c>
      <c r="E25" s="39">
        <v>36</v>
      </c>
      <c r="F25" s="37">
        <v>1</v>
      </c>
      <c r="G25" s="37" t="e">
        <f>#REF!+(E25/F25)</f>
        <v>#REF!</v>
      </c>
      <c r="H25" s="37"/>
      <c r="I25" s="40">
        <v>46214</v>
      </c>
      <c r="J25" s="40">
        <v>46219</v>
      </c>
      <c r="K25" s="40">
        <v>46250</v>
      </c>
      <c r="L25" s="47"/>
      <c r="M25" s="48" t="s">
        <v>524</v>
      </c>
      <c r="N25" s="51"/>
      <c r="O25" s="129" t="s">
        <v>410</v>
      </c>
      <c r="P25" s="195">
        <f>VLOOKUP(A25,'הזמנות פתוחות'!A:D,4,0)</f>
        <v>46282</v>
      </c>
      <c r="Q25" s="62"/>
      <c r="R25" s="170" t="s">
        <v>833</v>
      </c>
    </row>
    <row r="26" spans="1:18" ht="27" customHeight="1" x14ac:dyDescent="0.3">
      <c r="A26" s="36" t="s">
        <v>345</v>
      </c>
      <c r="B26" s="37" t="s">
        <v>346</v>
      </c>
      <c r="C26" s="37">
        <f>VLOOKUP(A26,קוביות!A:X,24,0)</f>
        <v>3030</v>
      </c>
      <c r="D26" s="37">
        <v>3006</v>
      </c>
      <c r="E26" s="39">
        <v>17</v>
      </c>
      <c r="F26" s="57">
        <v>1</v>
      </c>
      <c r="G26" s="57" t="e">
        <f>#REF!+(E26/F26)</f>
        <v>#REF!</v>
      </c>
      <c r="H26" s="54"/>
      <c r="I26" s="40" t="e">
        <f>VLOOKUP(A26,'[1]תכנית ייצור'!$B:$H,7,0)</f>
        <v>#N/A</v>
      </c>
      <c r="J26" s="40" t="e">
        <f>I26+6</f>
        <v>#N/A</v>
      </c>
      <c r="K26" s="40"/>
      <c r="L26" s="47"/>
      <c r="M26" s="48"/>
      <c r="N26" s="37"/>
      <c r="O26" s="129" t="s">
        <v>410</v>
      </c>
      <c r="P26" s="25">
        <v>46637</v>
      </c>
      <c r="Q26" s="51"/>
      <c r="R26" s="170" t="s">
        <v>517</v>
      </c>
    </row>
    <row r="27" spans="1:18" ht="33" customHeight="1" x14ac:dyDescent="0.3">
      <c r="A27" s="36" t="s">
        <v>338</v>
      </c>
      <c r="B27" s="37"/>
      <c r="C27" s="38">
        <f>VLOOKUP(A27,קוביות!A:X,24,0)</f>
        <v>3029</v>
      </c>
      <c r="D27" s="38">
        <v>3016</v>
      </c>
      <c r="E27" s="39">
        <v>72</v>
      </c>
      <c r="F27" s="37">
        <v>1</v>
      </c>
      <c r="G27" s="37" t="e">
        <f>#REF!+(E27/F27)</f>
        <v>#REF!</v>
      </c>
      <c r="H27" s="37"/>
      <c r="I27" s="40">
        <v>46175</v>
      </c>
      <c r="J27" s="40" t="e">
        <v>#N/A</v>
      </c>
      <c r="K27" s="40" t="e">
        <f>J27+16</f>
        <v>#N/A</v>
      </c>
      <c r="L27" s="47"/>
      <c r="M27" s="48" t="s">
        <v>396</v>
      </c>
      <c r="N27" s="37"/>
      <c r="O27" s="129" t="s">
        <v>410</v>
      </c>
      <c r="P27" s="25">
        <v>46513</v>
      </c>
      <c r="Q27" s="62"/>
      <c r="R27" s="45" t="s">
        <v>395</v>
      </c>
    </row>
    <row r="28" spans="1:18" ht="28.8" x14ac:dyDescent="0.3">
      <c r="A28" s="36" t="s">
        <v>129</v>
      </c>
      <c r="B28" s="37"/>
      <c r="C28" s="38">
        <f>VLOOKUP(A28,קוביות!A:X,24,0)</f>
        <v>3016</v>
      </c>
      <c r="D28" s="38">
        <v>3016</v>
      </c>
      <c r="E28" s="39">
        <v>13</v>
      </c>
      <c r="F28" s="37">
        <v>1</v>
      </c>
      <c r="G28" s="37" t="e">
        <f>#REF!+(E28/F28)</f>
        <v>#REF!</v>
      </c>
      <c r="H28" s="37"/>
      <c r="I28" s="40" t="s">
        <v>382</v>
      </c>
      <c r="J28" s="40" t="e">
        <v>#N/A</v>
      </c>
      <c r="K28" s="40" t="e">
        <f>J28+16</f>
        <v>#N/A</v>
      </c>
      <c r="L28" s="47" t="s">
        <v>378</v>
      </c>
      <c r="M28" s="48" t="s">
        <v>381</v>
      </c>
      <c r="N28" s="37" t="s">
        <v>378</v>
      </c>
      <c r="O28" s="129" t="s">
        <v>410</v>
      </c>
      <c r="P28" s="25">
        <f>VLOOKUP(A28,'הזמנות פתוחות'!A:D,4,0)</f>
        <v>46264</v>
      </c>
      <c r="Q28" s="62"/>
      <c r="R28" s="45" t="s">
        <v>395</v>
      </c>
    </row>
    <row r="29" spans="1:18" ht="28.8" x14ac:dyDescent="0.3">
      <c r="A29" s="36" t="s">
        <v>32</v>
      </c>
      <c r="B29" s="37"/>
      <c r="C29" s="38">
        <f>VLOOKUP(A29,קוביות!A:X,24,0)</f>
        <v>3017</v>
      </c>
      <c r="D29" s="38">
        <v>3017</v>
      </c>
      <c r="E29" s="39">
        <v>60</v>
      </c>
      <c r="F29" s="37">
        <v>1</v>
      </c>
      <c r="G29" s="37" t="e">
        <f>#REF!+(E29/F29)</f>
        <v>#REF!</v>
      </c>
      <c r="H29" s="37"/>
      <c r="I29" s="40" t="s">
        <v>382</v>
      </c>
      <c r="J29" s="40" t="e">
        <v>#N/A</v>
      </c>
      <c r="K29" s="40" t="e">
        <f>J29+16</f>
        <v>#N/A</v>
      </c>
      <c r="L29" s="47"/>
      <c r="M29" s="48" t="s">
        <v>400</v>
      </c>
      <c r="N29" s="37"/>
      <c r="O29" s="129" t="s">
        <v>410</v>
      </c>
      <c r="P29" s="25">
        <f>VLOOKUP(A29,'הזמנות פתוחות'!A:D,4,0)</f>
        <v>46363</v>
      </c>
      <c r="Q29" s="62"/>
      <c r="R29" s="45" t="s">
        <v>395</v>
      </c>
    </row>
    <row r="30" spans="1:18" ht="28.8" x14ac:dyDescent="0.3">
      <c r="A30" s="36" t="s">
        <v>180</v>
      </c>
      <c r="B30" s="37"/>
      <c r="C30" s="38">
        <f>VLOOKUP(A30,קוביות!A:X,24,0)</f>
        <v>3018</v>
      </c>
      <c r="D30" s="38">
        <v>3018</v>
      </c>
      <c r="E30" s="39">
        <v>27</v>
      </c>
      <c r="F30" s="37">
        <v>1</v>
      </c>
      <c r="G30" s="37" t="e">
        <f>#REF!+(E30/F30)</f>
        <v>#REF!</v>
      </c>
      <c r="H30" s="37"/>
      <c r="I30" s="40" t="s">
        <v>382</v>
      </c>
      <c r="J30" s="40" t="s">
        <v>382</v>
      </c>
      <c r="K30" s="40" t="s">
        <v>382</v>
      </c>
      <c r="L30" s="47"/>
      <c r="M30" s="48" t="s">
        <v>381</v>
      </c>
      <c r="N30" s="37"/>
      <c r="O30" s="129" t="s">
        <v>410</v>
      </c>
      <c r="P30" s="25">
        <f>VLOOKUP(A30,'הזמנות פתוחות'!A:D,4,0)</f>
        <v>46264</v>
      </c>
      <c r="Q30" s="62"/>
      <c r="R30" s="45" t="s">
        <v>395</v>
      </c>
    </row>
    <row r="31" spans="1:18" ht="28.8" x14ac:dyDescent="0.3">
      <c r="A31" s="36" t="s">
        <v>172</v>
      </c>
      <c r="B31" s="37" t="s">
        <v>173</v>
      </c>
      <c r="C31" s="38">
        <f>VLOOKUP(A31,קוביות!A:X,24,0)</f>
        <v>3018</v>
      </c>
      <c r="D31" s="38">
        <v>3018</v>
      </c>
      <c r="E31" s="39">
        <v>117</v>
      </c>
      <c r="F31" s="37">
        <v>1</v>
      </c>
      <c r="G31" s="37" t="e">
        <f>#REF!+(E31/F31)</f>
        <v>#REF!</v>
      </c>
      <c r="H31" s="119"/>
      <c r="I31" s="40">
        <v>46217</v>
      </c>
      <c r="J31" s="40">
        <v>46235</v>
      </c>
      <c r="K31" s="40">
        <f>J31+10</f>
        <v>46245</v>
      </c>
      <c r="L31" s="47"/>
      <c r="M31" s="48" t="s">
        <v>379</v>
      </c>
      <c r="N31" s="51"/>
      <c r="O31" s="129" t="s">
        <v>410</v>
      </c>
      <c r="P31" s="25">
        <f>VLOOKUP(A31,'הזמנות פתוחות'!A:D,4,0)</f>
        <v>46257</v>
      </c>
      <c r="Q31" s="51"/>
      <c r="R31" s="45" t="s">
        <v>395</v>
      </c>
    </row>
    <row r="32" spans="1:18" ht="28.8" x14ac:dyDescent="0.3">
      <c r="A32" s="36" t="s">
        <v>221</v>
      </c>
      <c r="B32" s="37"/>
      <c r="C32" s="38">
        <f>VLOOKUP(A32,קוביות!A:X,24,0)</f>
        <v>3019</v>
      </c>
      <c r="D32" s="38">
        <v>3019</v>
      </c>
      <c r="E32" s="46">
        <v>24</v>
      </c>
      <c r="F32" s="39">
        <v>1</v>
      </c>
      <c r="G32" s="37" t="e">
        <f>#REF!+(E32/F32)</f>
        <v>#REF!</v>
      </c>
      <c r="H32" s="37"/>
      <c r="I32" s="40">
        <v>46145</v>
      </c>
      <c r="J32" s="40" t="e">
        <v>#N/A</v>
      </c>
      <c r="K32" s="40" t="e">
        <f>J32+16</f>
        <v>#N/A</v>
      </c>
      <c r="L32" s="47"/>
      <c r="M32" s="48" t="s">
        <v>409</v>
      </c>
      <c r="N32" s="49"/>
      <c r="O32" s="129" t="s">
        <v>410</v>
      </c>
      <c r="P32" s="25">
        <f>VLOOKUP(A32,'הזמנות פתוחות'!A:D,4,0)</f>
        <v>46317</v>
      </c>
      <c r="Q32" s="51"/>
      <c r="R32" s="128" t="s">
        <v>395</v>
      </c>
    </row>
    <row r="33" spans="1:37" ht="28.8" x14ac:dyDescent="0.3">
      <c r="A33" s="36" t="s">
        <v>218</v>
      </c>
      <c r="B33" s="37"/>
      <c r="C33" s="38">
        <f>VLOOKUP(A33,קוביות!A:X,24,0)</f>
        <v>3019</v>
      </c>
      <c r="D33" s="38">
        <v>3019</v>
      </c>
      <c r="E33" s="39">
        <v>28</v>
      </c>
      <c r="F33" s="80">
        <v>1</v>
      </c>
      <c r="G33" s="57" t="e">
        <f>#REF!+(E33/F33)</f>
        <v>#REF!</v>
      </c>
      <c r="H33" s="101"/>
      <c r="I33" s="40" t="s">
        <v>382</v>
      </c>
      <c r="J33" s="40" t="e">
        <v>#N/A</v>
      </c>
      <c r="K33" s="40" t="e">
        <f>J33+16</f>
        <v>#N/A</v>
      </c>
      <c r="L33" s="47"/>
      <c r="M33" s="48" t="s">
        <v>381</v>
      </c>
      <c r="N33" s="37"/>
      <c r="O33" s="129" t="s">
        <v>410</v>
      </c>
      <c r="P33" s="25">
        <f>VLOOKUP(A33,'הזמנות פתוחות'!A:D,4,0)</f>
        <v>46264</v>
      </c>
      <c r="Q33" s="51"/>
      <c r="R33" s="128" t="s">
        <v>395</v>
      </c>
    </row>
    <row r="34" spans="1:37" ht="28.8" x14ac:dyDescent="0.3">
      <c r="A34" s="36" t="s">
        <v>217</v>
      </c>
      <c r="B34" s="37"/>
      <c r="C34" s="38">
        <f>VLOOKUP(A34,קוביות!A:X,24,0)</f>
        <v>3019</v>
      </c>
      <c r="D34" s="38">
        <v>3019</v>
      </c>
      <c r="E34" s="39">
        <v>20</v>
      </c>
      <c r="F34" s="57"/>
      <c r="G34" s="57"/>
      <c r="H34" s="54"/>
      <c r="I34" s="40" t="s">
        <v>382</v>
      </c>
      <c r="J34" s="40" t="s">
        <v>382</v>
      </c>
      <c r="K34" s="40" t="s">
        <v>382</v>
      </c>
      <c r="L34" s="47"/>
      <c r="M34" s="48" t="s">
        <v>381</v>
      </c>
      <c r="N34" s="37"/>
      <c r="O34" s="129" t="s">
        <v>410</v>
      </c>
      <c r="P34" s="25">
        <f>VLOOKUP(A34,'הזמנות פתוחות'!A:D,4,0)</f>
        <v>46282</v>
      </c>
      <c r="Q34" s="51"/>
      <c r="R34" s="128" t="s">
        <v>395</v>
      </c>
    </row>
    <row r="35" spans="1:37" ht="28.8" x14ac:dyDescent="0.3">
      <c r="A35" s="138" t="s">
        <v>202</v>
      </c>
      <c r="B35" s="38"/>
      <c r="C35" s="38">
        <f>VLOOKUP(A35,קוביות!A:X,24,0)</f>
        <v>3019</v>
      </c>
      <c r="D35" s="38">
        <v>3019</v>
      </c>
      <c r="E35" s="139">
        <v>13</v>
      </c>
      <c r="F35" s="140">
        <v>1</v>
      </c>
      <c r="G35" s="38" t="e">
        <f>#REF!+(E35/F35)</f>
        <v>#REF!</v>
      </c>
      <c r="H35" s="38"/>
      <c r="I35" s="44" t="s">
        <v>382</v>
      </c>
      <c r="J35" s="40" t="e">
        <v>#N/A</v>
      </c>
      <c r="K35" s="40" t="e">
        <f>J35+16</f>
        <v>#N/A</v>
      </c>
      <c r="L35" s="47"/>
      <c r="M35" s="48" t="s">
        <v>415</v>
      </c>
      <c r="N35" s="51"/>
      <c r="O35" s="129" t="s">
        <v>410</v>
      </c>
      <c r="P35" s="25">
        <f>VLOOKUP(A35,'הזמנות פתוחות'!A:D,4,0)</f>
        <v>46377</v>
      </c>
      <c r="Q35" s="51"/>
      <c r="R35" s="128" t="s">
        <v>416</v>
      </c>
    </row>
    <row r="36" spans="1:37" ht="28.8" x14ac:dyDescent="0.3">
      <c r="A36" s="36" t="s">
        <v>234</v>
      </c>
      <c r="B36" s="37" t="s">
        <v>235</v>
      </c>
      <c r="C36" s="38">
        <f>VLOOKUP(A36,קוביות!A:X,24,0)</f>
        <v>3020</v>
      </c>
      <c r="D36" s="38">
        <v>3020</v>
      </c>
      <c r="E36" s="39">
        <v>40</v>
      </c>
      <c r="F36" s="41">
        <v>1</v>
      </c>
      <c r="G36" s="40" t="e">
        <f>#REF!+(E36/F36)</f>
        <v>#REF!</v>
      </c>
      <c r="H36" s="49"/>
      <c r="I36" s="49">
        <v>46195</v>
      </c>
      <c r="J36" s="41" t="e">
        <v>#N/A</v>
      </c>
      <c r="K36" s="41" t="e">
        <f>J36+16</f>
        <v>#N/A</v>
      </c>
      <c r="L36" s="42"/>
      <c r="M36" s="43" t="s">
        <v>419</v>
      </c>
      <c r="N36" s="44"/>
      <c r="O36" s="129" t="s">
        <v>410</v>
      </c>
      <c r="P36" s="25">
        <f>VLOOKUP(A36,'הזמנות פתוחות'!A:D,4,0)</f>
        <v>46405</v>
      </c>
      <c r="Q36" s="38"/>
      <c r="R36" s="45" t="s">
        <v>395</v>
      </c>
    </row>
    <row r="37" spans="1:37" ht="28.8" x14ac:dyDescent="0.3">
      <c r="A37" s="36" t="s">
        <v>257</v>
      </c>
      <c r="B37" s="37" t="s">
        <v>258</v>
      </c>
      <c r="C37" s="38">
        <f>VLOOKUP(A37,קוביות!A:X,24,0)</f>
        <v>3021</v>
      </c>
      <c r="D37" s="38">
        <v>3021</v>
      </c>
      <c r="E37" s="46" t="s">
        <v>394</v>
      </c>
      <c r="F37" s="37">
        <v>1</v>
      </c>
      <c r="G37" s="37" t="e">
        <f>#REF!+(E37/F37)</f>
        <v>#REF!</v>
      </c>
      <c r="H37" s="37"/>
      <c r="I37" s="40" t="s">
        <v>382</v>
      </c>
      <c r="J37" s="40" t="e">
        <v>#N/A</v>
      </c>
      <c r="K37" s="40" t="e">
        <f>J37+16</f>
        <v>#N/A</v>
      </c>
      <c r="L37" s="47"/>
      <c r="M37" s="48" t="s">
        <v>421</v>
      </c>
      <c r="N37" s="51"/>
      <c r="O37" s="129" t="s">
        <v>410</v>
      </c>
      <c r="P37" s="25">
        <f>VLOOKUP(A37,'הזמנות פתוחות'!A:D,4,0)</f>
        <v>46405</v>
      </c>
      <c r="Q37" s="51"/>
      <c r="R37" s="128" t="s">
        <v>395</v>
      </c>
    </row>
    <row r="38" spans="1:37" ht="28.8" x14ac:dyDescent="0.3">
      <c r="A38" s="36" t="s">
        <v>251</v>
      </c>
      <c r="B38" s="37" t="s">
        <v>252</v>
      </c>
      <c r="C38" s="38">
        <f>VLOOKUP(A38,קוביות!A:X,24,0)</f>
        <v>3021</v>
      </c>
      <c r="D38" s="38">
        <v>3021</v>
      </c>
      <c r="E38" s="46" t="s">
        <v>394</v>
      </c>
      <c r="F38" s="37">
        <v>1</v>
      </c>
      <c r="G38" s="37" t="e">
        <f>#REF!+(E38/F38)</f>
        <v>#REF!</v>
      </c>
      <c r="H38" s="37"/>
      <c r="I38" s="40" t="s">
        <v>382</v>
      </c>
      <c r="J38" s="40" t="s">
        <v>382</v>
      </c>
      <c r="K38" s="40" t="s">
        <v>382</v>
      </c>
      <c r="L38" s="47" t="s">
        <v>378</v>
      </c>
      <c r="M38" s="48">
        <v>0</v>
      </c>
      <c r="N38" s="49" t="s">
        <v>378</v>
      </c>
      <c r="O38" s="129" t="s">
        <v>410</v>
      </c>
      <c r="P38" s="25">
        <f>VLOOKUP(A38,'הזמנות פתוחות'!A:D,4,0)</f>
        <v>46293</v>
      </c>
      <c r="Q38" s="51"/>
      <c r="R38" s="128" t="s">
        <v>395</v>
      </c>
    </row>
    <row r="39" spans="1:37" ht="28.8" x14ac:dyDescent="0.3">
      <c r="A39" s="36" t="s">
        <v>250</v>
      </c>
      <c r="B39" s="37"/>
      <c r="C39" s="37">
        <f>VLOOKUP(A39,קוביות!A:X,24,0)</f>
        <v>3021</v>
      </c>
      <c r="D39" s="37">
        <v>3021</v>
      </c>
      <c r="E39" s="39">
        <v>48</v>
      </c>
      <c r="F39" s="37"/>
      <c r="G39" s="37"/>
      <c r="H39" s="37"/>
      <c r="I39" s="40" t="e">
        <f>VLOOKUP(A39,'[1]תכנית ייצור'!$B:$H,7,0)</f>
        <v>#N/A</v>
      </c>
      <c r="J39" s="40" t="e">
        <f>I39+6</f>
        <v>#N/A</v>
      </c>
      <c r="K39" s="40" t="e">
        <f>J39+16</f>
        <v>#N/A</v>
      </c>
      <c r="L39" s="47"/>
      <c r="M39" s="48">
        <v>0</v>
      </c>
      <c r="N39" s="37"/>
      <c r="O39" s="129" t="s">
        <v>410</v>
      </c>
      <c r="P39" s="25">
        <v>46531</v>
      </c>
      <c r="Q39" s="51"/>
      <c r="R39" s="128" t="s">
        <v>395</v>
      </c>
      <c r="S39" s="37"/>
      <c r="T39" s="39"/>
      <c r="U39" s="41"/>
      <c r="V39" s="40"/>
      <c r="W39" s="49"/>
      <c r="X39" s="142"/>
      <c r="Y39" s="48"/>
      <c r="Z39" s="51"/>
      <c r="AA39" s="113"/>
      <c r="AB39" s="25"/>
      <c r="AC39" s="62"/>
      <c r="AD39" s="63"/>
    </row>
    <row r="40" spans="1:37" ht="20.399999999999999" customHeight="1" x14ac:dyDescent="0.3">
      <c r="A40" s="138" t="s">
        <v>236</v>
      </c>
      <c r="B40" s="38" t="s">
        <v>237</v>
      </c>
      <c r="C40" s="38">
        <f>VLOOKUP(A40,קוביות!A:X,24,0)</f>
        <v>3021</v>
      </c>
      <c r="D40" s="38">
        <v>3021</v>
      </c>
      <c r="E40" s="140">
        <v>13</v>
      </c>
      <c r="F40" s="38"/>
      <c r="G40" s="38"/>
      <c r="H40" s="38"/>
      <c r="I40" s="41">
        <f>VLOOKUP(A40,'[1]תכנית ייצור'!$B:$H,7,0)</f>
        <v>46308</v>
      </c>
      <c r="J40" s="41">
        <f>I40+6</f>
        <v>46314</v>
      </c>
      <c r="K40" s="41">
        <f>J40+16</f>
        <v>46330</v>
      </c>
      <c r="L40" s="42"/>
      <c r="M40" s="43">
        <v>0</v>
      </c>
      <c r="N40" s="38"/>
      <c r="O40" s="129" t="s">
        <v>410</v>
      </c>
      <c r="P40" s="44">
        <f>VLOOKUP(A40,'הזמנות פתוחות'!A:D,4,0)</f>
        <v>46331</v>
      </c>
      <c r="Q40" s="44"/>
      <c r="R40" s="128" t="s">
        <v>827</v>
      </c>
    </row>
    <row r="41" spans="1:37" ht="28.8" x14ac:dyDescent="0.3">
      <c r="A41" s="36" t="s">
        <v>267</v>
      </c>
      <c r="B41" s="37" t="s">
        <v>268</v>
      </c>
      <c r="C41" s="38">
        <f>VLOOKUP(A41,קוביות!A:X,24,0)</f>
        <v>3022</v>
      </c>
      <c r="D41" s="38">
        <v>3022</v>
      </c>
      <c r="E41" s="39">
        <v>38</v>
      </c>
      <c r="F41" s="37">
        <v>1</v>
      </c>
      <c r="G41" s="37" t="e">
        <f>#REF!+(E41/F41)</f>
        <v>#REF!</v>
      </c>
      <c r="H41" s="37"/>
      <c r="I41" s="40">
        <v>46176</v>
      </c>
      <c r="J41" s="40" t="e">
        <v>#N/A</v>
      </c>
      <c r="K41" s="40" t="e">
        <f>J41+16</f>
        <v>#N/A</v>
      </c>
      <c r="L41" s="47"/>
      <c r="M41" s="48">
        <v>0</v>
      </c>
      <c r="N41" s="37" t="s">
        <v>378</v>
      </c>
      <c r="O41" s="129" t="s">
        <v>410</v>
      </c>
      <c r="P41" s="25">
        <f>VLOOKUP(A41,'הזמנות פתוחות'!A:D,4,0)</f>
        <v>46448</v>
      </c>
      <c r="Q41" s="62"/>
      <c r="R41" s="128" t="s">
        <v>395</v>
      </c>
    </row>
    <row r="42" spans="1:37" ht="28.8" x14ac:dyDescent="0.3">
      <c r="A42" s="36" t="s">
        <v>269</v>
      </c>
      <c r="B42" s="37" t="s">
        <v>423</v>
      </c>
      <c r="C42" s="38">
        <f>VLOOKUP(A42,קוביות!A:X,24,0)</f>
        <v>3022</v>
      </c>
      <c r="D42" s="37">
        <v>3022</v>
      </c>
      <c r="E42" s="39">
        <v>20</v>
      </c>
      <c r="F42" s="39">
        <v>1</v>
      </c>
      <c r="G42" s="37" t="e">
        <f>#REF!+(E42/F42)</f>
        <v>#REF!</v>
      </c>
      <c r="H42" s="37"/>
      <c r="I42" s="40">
        <v>46208</v>
      </c>
      <c r="J42" s="40" t="e">
        <v>#N/A</v>
      </c>
      <c r="K42" s="40" t="e">
        <f>J42+16</f>
        <v>#N/A</v>
      </c>
      <c r="L42" s="47"/>
      <c r="M42" s="48" t="s">
        <v>424</v>
      </c>
      <c r="N42" s="37"/>
      <c r="O42" s="129" t="s">
        <v>410</v>
      </c>
      <c r="P42" s="25">
        <f>VLOOKUP(A42,'הזמנות פתוחות'!A:D,4,0)</f>
        <v>46419</v>
      </c>
      <c r="Q42" s="51"/>
      <c r="R42" s="128" t="s">
        <v>395</v>
      </c>
    </row>
    <row r="43" spans="1:37" ht="28.8" x14ac:dyDescent="0.3">
      <c r="A43" s="36" t="s">
        <v>261</v>
      </c>
      <c r="B43" s="37"/>
      <c r="C43" s="37">
        <f>VLOOKUP(A43,קוביות!A:X,24,0)</f>
        <v>3022</v>
      </c>
      <c r="D43" s="37">
        <v>3022</v>
      </c>
      <c r="E43" s="39">
        <v>14</v>
      </c>
      <c r="F43" s="39">
        <v>1</v>
      </c>
      <c r="G43" s="37" t="e">
        <f>#REF!+(E43/F43)</f>
        <v>#REF!</v>
      </c>
      <c r="H43" s="37"/>
      <c r="I43" s="40" t="s">
        <v>382</v>
      </c>
      <c r="J43" s="40">
        <v>46238</v>
      </c>
      <c r="K43" s="47">
        <v>46250</v>
      </c>
      <c r="L43" s="47"/>
      <c r="M43" s="48" t="s">
        <v>391</v>
      </c>
      <c r="N43" s="37"/>
      <c r="O43" s="129" t="s">
        <v>410</v>
      </c>
      <c r="P43" s="25">
        <f>VLOOKUP(A43,'הזמנות פתוחות'!A:D,4,0)</f>
        <v>46377</v>
      </c>
      <c r="Q43" s="62"/>
      <c r="R43" s="128" t="s">
        <v>395</v>
      </c>
    </row>
    <row r="44" spans="1:37" ht="19.2" customHeight="1" x14ac:dyDescent="0.3">
      <c r="A44" s="36" t="s">
        <v>266</v>
      </c>
      <c r="B44" s="37"/>
      <c r="C44" s="37">
        <f>VLOOKUP(A44,קוביות!A:X,24,0)</f>
        <v>3022</v>
      </c>
      <c r="D44" s="37">
        <v>3022</v>
      </c>
      <c r="E44" s="39">
        <v>25</v>
      </c>
      <c r="F44" s="39"/>
      <c r="G44" s="37"/>
      <c r="H44" s="37"/>
      <c r="I44" s="40" t="s">
        <v>382</v>
      </c>
      <c r="J44" s="40" t="s">
        <v>382</v>
      </c>
      <c r="K44" s="40" t="s">
        <v>382</v>
      </c>
      <c r="L44" s="47"/>
      <c r="M44" s="48">
        <v>0</v>
      </c>
      <c r="N44" s="37"/>
      <c r="O44" s="129" t="s">
        <v>410</v>
      </c>
      <c r="P44" s="25">
        <f>VLOOKUP(A44,'הזמנות פתוחות'!A:D,4,0)</f>
        <v>46391</v>
      </c>
      <c r="Q44" s="62"/>
      <c r="R44" s="128" t="s">
        <v>827</v>
      </c>
    </row>
    <row r="45" spans="1:37" ht="28.8" x14ac:dyDescent="0.3">
      <c r="A45" s="36" t="s">
        <v>280</v>
      </c>
      <c r="B45" s="37"/>
      <c r="C45" s="38">
        <f>VLOOKUP(A45,קוביות!A:X,24,0)</f>
        <v>3023</v>
      </c>
      <c r="D45" s="38">
        <v>3023</v>
      </c>
      <c r="E45" s="46" t="s">
        <v>394</v>
      </c>
      <c r="F45" s="39">
        <v>4</v>
      </c>
      <c r="G45" s="37" t="e">
        <f>#REF!+(E45/F45)</f>
        <v>#REF!</v>
      </c>
      <c r="H45" s="37"/>
      <c r="I45" s="40" t="s">
        <v>382</v>
      </c>
      <c r="J45" s="41" t="e">
        <v>#N/A</v>
      </c>
      <c r="K45" s="41" t="e">
        <f>J45+16</f>
        <v>#N/A</v>
      </c>
      <c r="L45" s="42"/>
      <c r="M45" s="43" t="s">
        <v>391</v>
      </c>
      <c r="N45" s="38"/>
      <c r="O45" s="129" t="s">
        <v>410</v>
      </c>
      <c r="P45" s="25">
        <f>VLOOKUP(A45,'הזמנות פתוחות'!A:D,4,0)</f>
        <v>46323</v>
      </c>
      <c r="Q45" s="44"/>
      <c r="R45" s="45" t="s">
        <v>395</v>
      </c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</row>
    <row r="46" spans="1:37" ht="28.8" x14ac:dyDescent="0.3">
      <c r="A46" s="144" t="s">
        <v>284</v>
      </c>
      <c r="B46" s="145"/>
      <c r="C46" s="38">
        <f>VLOOKUP(A46,קוביות!A:X,24,0)</f>
        <v>3024</v>
      </c>
      <c r="D46" s="38">
        <v>3024</v>
      </c>
      <c r="E46" s="146">
        <v>15</v>
      </c>
      <c r="F46" s="147">
        <v>1</v>
      </c>
      <c r="G46" s="145" t="e">
        <f>#REF!+(E46/F46)</f>
        <v>#REF!</v>
      </c>
      <c r="H46" s="145"/>
      <c r="I46" s="51" t="s">
        <v>382</v>
      </c>
      <c r="J46" s="40" t="e">
        <v>#N/A</v>
      </c>
      <c r="K46" s="40" t="e">
        <f>J46+16</f>
        <v>#N/A</v>
      </c>
      <c r="L46" s="47"/>
      <c r="M46" s="48" t="s">
        <v>415</v>
      </c>
      <c r="N46" s="148"/>
      <c r="O46" s="129" t="s">
        <v>410</v>
      </c>
      <c r="P46" s="25">
        <f>VLOOKUP(A46,'הזמנות פתוחות'!A:D,4,0)</f>
        <v>46377</v>
      </c>
      <c r="Q46" s="148"/>
      <c r="R46" s="128" t="s">
        <v>416</v>
      </c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 spans="1:37" ht="28.8" x14ac:dyDescent="0.3">
      <c r="A47" s="36" t="s">
        <v>285</v>
      </c>
      <c r="B47" s="37"/>
      <c r="C47" s="38">
        <f>VLOOKUP(A47,קוביות!A:X,24,0)</f>
        <v>3024</v>
      </c>
      <c r="D47" s="38">
        <v>3024</v>
      </c>
      <c r="E47" s="149">
        <v>24</v>
      </c>
      <c r="F47" s="39">
        <v>1</v>
      </c>
      <c r="G47" s="37" t="e">
        <f>#REF!+(E47/F47)</f>
        <v>#REF!</v>
      </c>
      <c r="H47" s="37"/>
      <c r="I47" s="51" t="s">
        <v>382</v>
      </c>
      <c r="J47" s="40" t="e">
        <v>#N/A</v>
      </c>
      <c r="K47" s="40" t="e">
        <f>J47+16</f>
        <v>#N/A</v>
      </c>
      <c r="L47" s="47"/>
      <c r="M47" s="48" t="s">
        <v>415</v>
      </c>
      <c r="N47" s="37"/>
      <c r="O47" s="129" t="s">
        <v>410</v>
      </c>
      <c r="P47" s="25">
        <f>VLOOKUP(A47,'הזמנות פתוחות'!A:D,4,0)</f>
        <v>46377</v>
      </c>
      <c r="Q47" s="51"/>
      <c r="R47" s="128" t="s">
        <v>416</v>
      </c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 spans="1:37" ht="28.8" x14ac:dyDescent="0.3">
      <c r="A48" s="36" t="s">
        <v>286</v>
      </c>
      <c r="B48" s="37"/>
      <c r="C48" s="38">
        <f>VLOOKUP(A48,קוביות!A:X,24,0)</f>
        <v>3024</v>
      </c>
      <c r="D48" s="38">
        <v>3024</v>
      </c>
      <c r="E48" s="149">
        <v>20</v>
      </c>
      <c r="F48" s="39">
        <v>1</v>
      </c>
      <c r="G48" s="37" t="e">
        <f>#REF!+(E48/F48)</f>
        <v>#REF!</v>
      </c>
      <c r="H48" s="37"/>
      <c r="I48" s="51" t="s">
        <v>382</v>
      </c>
      <c r="J48" s="40" t="e">
        <v>#N/A</v>
      </c>
      <c r="K48" s="40" t="e">
        <f>J48+16</f>
        <v>#N/A</v>
      </c>
      <c r="L48" s="47"/>
      <c r="M48" s="48" t="s">
        <v>415</v>
      </c>
      <c r="N48" s="37"/>
      <c r="O48" s="129" t="s">
        <v>410</v>
      </c>
      <c r="P48" s="25">
        <f>VLOOKUP(A48,'הזמנות פתוחות'!A:D,4,0)</f>
        <v>46377</v>
      </c>
      <c r="Q48" s="51"/>
      <c r="R48" s="128" t="s">
        <v>416</v>
      </c>
    </row>
    <row r="49" spans="1:37" customFormat="1" ht="40.799999999999997" customHeight="1" x14ac:dyDescent="0.3">
      <c r="A49" s="138" t="s">
        <v>289</v>
      </c>
      <c r="B49" s="174"/>
      <c r="C49" s="38">
        <f>VLOOKUP(A49,קוביות!A:X,24,0)</f>
        <v>3024</v>
      </c>
      <c r="D49" s="38">
        <v>3024</v>
      </c>
      <c r="E49" s="46" t="s">
        <v>394</v>
      </c>
      <c r="F49" s="38"/>
      <c r="G49" s="38"/>
      <c r="H49" s="38"/>
      <c r="I49" s="44" t="s">
        <v>382</v>
      </c>
      <c r="J49" s="41">
        <v>46237</v>
      </c>
      <c r="K49" s="41">
        <f>J49+8</f>
        <v>46245</v>
      </c>
      <c r="L49" s="42"/>
      <c r="M49" s="43" t="s">
        <v>379</v>
      </c>
      <c r="N49" s="38"/>
      <c r="O49" s="129" t="s">
        <v>410</v>
      </c>
      <c r="P49" s="25">
        <f>VLOOKUP(A49,'הזמנות פתוחות'!A:D,4,0)</f>
        <v>46391</v>
      </c>
      <c r="Q49" s="44"/>
      <c r="R49" s="45" t="s">
        <v>395</v>
      </c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</row>
    <row r="50" spans="1:37" ht="28.8" x14ac:dyDescent="0.3">
      <c r="A50" s="36" t="s">
        <v>323</v>
      </c>
      <c r="B50" s="37" t="s">
        <v>324</v>
      </c>
      <c r="C50" s="38">
        <f>VLOOKUP(A50,קוביות!A:X,24,0)</f>
        <v>3027</v>
      </c>
      <c r="D50" s="38">
        <v>3027</v>
      </c>
      <c r="E50" s="39">
        <v>16</v>
      </c>
      <c r="F50" s="49">
        <v>1</v>
      </c>
      <c r="G50" s="40" t="e">
        <f>#REF!+(E50/F50)</f>
        <v>#REF!</v>
      </c>
      <c r="H50" s="49"/>
      <c r="I50" s="49" t="s">
        <v>382</v>
      </c>
      <c r="J50" s="40" t="e">
        <v>#N/A</v>
      </c>
      <c r="K50" s="40" t="e">
        <f>J50+16</f>
        <v>#N/A</v>
      </c>
      <c r="L50" s="47" t="s">
        <v>378</v>
      </c>
      <c r="M50" s="48" t="s">
        <v>400</v>
      </c>
      <c r="N50" s="40" t="s">
        <v>378</v>
      </c>
      <c r="O50" s="129" t="s">
        <v>410</v>
      </c>
      <c r="P50" s="25">
        <f>VLOOKUP(A50,'הזמנות פתוחות'!A:D,4,0)</f>
        <v>46434</v>
      </c>
      <c r="Q50" s="37"/>
      <c r="R50" s="128" t="s">
        <v>395</v>
      </c>
    </row>
    <row r="51" spans="1:37" x14ac:dyDescent="0.3">
      <c r="A51" s="36" t="s">
        <v>331</v>
      </c>
      <c r="B51" s="37" t="s">
        <v>332</v>
      </c>
      <c r="C51" s="37">
        <f>VLOOKUP(A51,קוביות!A:X,24,0)</f>
        <v>3028</v>
      </c>
      <c r="D51" s="37">
        <v>3028</v>
      </c>
      <c r="E51" s="39">
        <v>156</v>
      </c>
      <c r="F51" s="39">
        <v>4</v>
      </c>
      <c r="G51" s="37" t="e">
        <f>#REF!+(E51/F51)</f>
        <v>#REF!</v>
      </c>
      <c r="H51" s="37"/>
      <c r="I51" s="49" t="s">
        <v>382</v>
      </c>
      <c r="J51" s="40">
        <v>46236</v>
      </c>
      <c r="K51" s="40">
        <f>J51+16</f>
        <v>46252</v>
      </c>
      <c r="L51" s="47"/>
      <c r="M51" s="48" t="s">
        <v>415</v>
      </c>
      <c r="N51" s="189"/>
      <c r="O51" s="129" t="s">
        <v>410</v>
      </c>
      <c r="P51" s="25">
        <f>VLOOKUP(A51,'הזמנות פתוחות'!A:D,4,0)</f>
        <v>46264</v>
      </c>
      <c r="Q51" s="62"/>
      <c r="R51" s="128" t="s">
        <v>822</v>
      </c>
    </row>
    <row r="52" spans="1:37" ht="28.8" x14ac:dyDescent="0.3">
      <c r="A52" s="36" t="s">
        <v>349</v>
      </c>
      <c r="B52" s="37"/>
      <c r="C52" s="38">
        <f>VLOOKUP(A52,קוביות!A:X,24,0)</f>
        <v>3031</v>
      </c>
      <c r="D52" s="38">
        <v>3031</v>
      </c>
      <c r="E52" s="39">
        <v>12</v>
      </c>
      <c r="F52" s="57"/>
      <c r="G52" s="57"/>
      <c r="H52" s="54"/>
      <c r="I52" s="40" t="s">
        <v>382</v>
      </c>
      <c r="J52" s="41" t="s">
        <v>382</v>
      </c>
      <c r="K52" s="41" t="e">
        <f>J52+16</f>
        <v>#VALUE!</v>
      </c>
      <c r="L52" s="42"/>
      <c r="M52" s="43">
        <v>0</v>
      </c>
      <c r="N52" s="38"/>
      <c r="O52" s="129" t="s">
        <v>410</v>
      </c>
      <c r="P52" s="25">
        <v>46483</v>
      </c>
      <c r="Q52" s="44"/>
      <c r="R52" s="128" t="s">
        <v>395</v>
      </c>
    </row>
    <row r="53" spans="1:37" customFormat="1" ht="27" customHeight="1" x14ac:dyDescent="0.3">
      <c r="A53" s="36" t="s">
        <v>348</v>
      </c>
      <c r="B53" s="37"/>
      <c r="C53" s="38">
        <f>VLOOKUP(A53,קוביות!A:X,24,0)</f>
        <v>3031</v>
      </c>
      <c r="D53" s="38">
        <v>3031</v>
      </c>
      <c r="E53" s="39">
        <v>3</v>
      </c>
      <c r="F53" s="57"/>
      <c r="G53" s="57"/>
      <c r="H53" s="54"/>
      <c r="I53" s="40">
        <f>VLOOKUP(A53,'[1]תכנית ייצור'!$B:$H,7,0)</f>
        <v>46315</v>
      </c>
      <c r="J53" s="41">
        <f>I53+6</f>
        <v>46321</v>
      </c>
      <c r="K53" s="41">
        <f>J53+16</f>
        <v>46337</v>
      </c>
      <c r="L53" s="42"/>
      <c r="M53" s="43">
        <v>0</v>
      </c>
      <c r="N53" s="38"/>
      <c r="O53" s="129" t="s">
        <v>410</v>
      </c>
      <c r="P53" s="25">
        <v>46513</v>
      </c>
      <c r="Q53" s="62"/>
      <c r="R53" s="128" t="s">
        <v>822</v>
      </c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</row>
    <row r="54" spans="1:37" ht="28.8" x14ac:dyDescent="0.3">
      <c r="A54" s="36" t="s">
        <v>347</v>
      </c>
      <c r="B54" s="37"/>
      <c r="C54" s="37">
        <f>VLOOKUP(A54,קוביות!A:X,24,0)</f>
        <v>3031</v>
      </c>
      <c r="D54" s="37">
        <v>3031</v>
      </c>
      <c r="E54" s="39">
        <v>32</v>
      </c>
      <c r="F54" s="37"/>
      <c r="G54" s="37"/>
      <c r="H54" s="37"/>
      <c r="I54" s="49" t="s">
        <v>382</v>
      </c>
      <c r="J54" s="49" t="s">
        <v>382</v>
      </c>
      <c r="K54" s="49" t="s">
        <v>382</v>
      </c>
      <c r="L54" s="47"/>
      <c r="M54" s="48">
        <v>0</v>
      </c>
      <c r="N54" s="37"/>
      <c r="O54" s="129" t="s">
        <v>410</v>
      </c>
      <c r="P54" s="51">
        <f>VLOOKUP(A54,'הזמנות פתוחות'!A:D,4,0)</f>
        <v>46462</v>
      </c>
      <c r="Q54" s="51"/>
      <c r="R54" s="128" t="s">
        <v>395</v>
      </c>
    </row>
    <row r="55" spans="1:37" ht="28.8" x14ac:dyDescent="0.3">
      <c r="A55" s="138" t="s">
        <v>357</v>
      </c>
      <c r="B55" s="38"/>
      <c r="C55" s="38">
        <f>VLOOKUP(A55,קוביות!A:X,24,0)</f>
        <v>3035</v>
      </c>
      <c r="D55" s="38">
        <v>3035</v>
      </c>
      <c r="E55" s="139">
        <v>20</v>
      </c>
      <c r="F55" s="140">
        <v>1</v>
      </c>
      <c r="G55" s="38" t="e">
        <f>#REF!+(E55/F55)</f>
        <v>#REF!</v>
      </c>
      <c r="H55" s="38"/>
      <c r="I55" s="41" t="s">
        <v>382</v>
      </c>
      <c r="J55" s="40" t="e">
        <v>#N/A</v>
      </c>
      <c r="K55" s="40" t="e">
        <f>J55+16</f>
        <v>#N/A</v>
      </c>
      <c r="L55" s="47"/>
      <c r="M55" s="48" t="s">
        <v>381</v>
      </c>
      <c r="N55" s="51"/>
      <c r="O55" s="129" t="s">
        <v>410</v>
      </c>
      <c r="P55" s="25">
        <v>46481</v>
      </c>
      <c r="Q55" s="51"/>
      <c r="R55" s="128" t="s">
        <v>395</v>
      </c>
    </row>
    <row r="56" spans="1:37" ht="28.8" x14ac:dyDescent="0.3">
      <c r="A56" s="36" t="s">
        <v>456</v>
      </c>
      <c r="B56" s="37" t="s">
        <v>457</v>
      </c>
      <c r="C56" s="37" t="e">
        <f>VLOOKUP(A56,קוביות!A:X,24,0)</f>
        <v>#N/A</v>
      </c>
      <c r="D56" s="37" t="e">
        <v>#N/A</v>
      </c>
      <c r="E56" s="39">
        <v>38</v>
      </c>
      <c r="F56" s="39">
        <v>1</v>
      </c>
      <c r="G56" s="37" t="e">
        <f>#REF!+(E56/F56)</f>
        <v>#REF!</v>
      </c>
      <c r="H56" s="37"/>
      <c r="I56" s="40" t="s">
        <v>382</v>
      </c>
      <c r="J56" s="40" t="e">
        <v>#N/A</v>
      </c>
      <c r="K56" s="40" t="e">
        <f>J56+16</f>
        <v>#N/A</v>
      </c>
      <c r="L56" s="47"/>
      <c r="M56" s="48" t="s">
        <v>381</v>
      </c>
      <c r="N56" s="51"/>
      <c r="O56" s="129" t="s">
        <v>410</v>
      </c>
      <c r="P56" s="25">
        <v>46513</v>
      </c>
      <c r="Q56" s="51"/>
      <c r="R56" s="128" t="s">
        <v>395</v>
      </c>
    </row>
    <row r="57" spans="1:37" ht="30.6" customHeight="1" x14ac:dyDescent="0.3">
      <c r="A57" s="64" t="s">
        <v>28</v>
      </c>
      <c r="B57" s="65" t="s">
        <v>29</v>
      </c>
      <c r="C57" s="54">
        <f>VLOOKUP(A57,קוביות!A:X,24,0)</f>
        <v>2340</v>
      </c>
      <c r="D57" s="54">
        <v>2340</v>
      </c>
      <c r="E57" s="55">
        <v>18</v>
      </c>
      <c r="F57" s="57"/>
      <c r="G57" s="57"/>
      <c r="H57" s="54"/>
      <c r="I57" s="41">
        <v>46194</v>
      </c>
      <c r="J57" s="41">
        <v>46219</v>
      </c>
      <c r="K57" s="66">
        <v>46264</v>
      </c>
      <c r="L57" s="67"/>
      <c r="M57" s="68" t="s">
        <v>535</v>
      </c>
      <c r="N57" s="70"/>
      <c r="O57" s="61">
        <f>VLOOKUP(A57,'[2]דוח מימד'!$A:$O,15,0)</f>
        <v>46271</v>
      </c>
      <c r="P57" s="25">
        <f>VLOOKUP(A57,'הזמנות פתוחות'!A:D,4,0)</f>
        <v>46271</v>
      </c>
      <c r="Q57" s="71" t="s">
        <v>377</v>
      </c>
      <c r="R57" s="63" t="str">
        <f>VLOOKUP(A57,'[2]דוח מימד'!$A:$R,18,0)</f>
        <v>יצא לתהליכים בתעשייה אווירית-30P460164100-001 18יח</v>
      </c>
    </row>
    <row r="58" spans="1:37" ht="43.2" x14ac:dyDescent="0.3">
      <c r="A58" s="64" t="s">
        <v>30</v>
      </c>
      <c r="B58" s="65"/>
      <c r="C58" s="54">
        <f>VLOOKUP(A58,קוביות!A:X,24,0)</f>
        <v>2340</v>
      </c>
      <c r="D58" s="54">
        <v>2340</v>
      </c>
      <c r="E58" s="55">
        <v>11</v>
      </c>
      <c r="F58" s="57">
        <v>1</v>
      </c>
      <c r="G58" s="57" t="e">
        <f>#REF!+(E58/F58)</f>
        <v>#REF!</v>
      </c>
      <c r="H58" s="54"/>
      <c r="I58" s="40">
        <v>46175</v>
      </c>
      <c r="J58" s="176">
        <v>46251</v>
      </c>
      <c r="K58" s="197">
        <v>46253</v>
      </c>
      <c r="L58" s="67">
        <v>46264</v>
      </c>
      <c r="M58" s="68" t="s">
        <v>400</v>
      </c>
      <c r="N58" s="72"/>
      <c r="O58" s="61">
        <v>46265</v>
      </c>
      <c r="P58" s="25">
        <f>VLOOKUP(A58,'הזמנות פתוחות'!A:D,4,0)</f>
        <v>46235</v>
      </c>
      <c r="Q58" s="71"/>
      <c r="R58" s="63" t="s">
        <v>825</v>
      </c>
    </row>
    <row r="59" spans="1:37" ht="28.8" x14ac:dyDescent="0.3">
      <c r="A59" s="52" t="s">
        <v>27</v>
      </c>
      <c r="B59" s="53"/>
      <c r="C59" s="54">
        <f>VLOOKUP(A59,קוביות!A:X,24,0)</f>
        <v>2341</v>
      </c>
      <c r="D59" s="54">
        <v>2341</v>
      </c>
      <c r="E59" s="55">
        <v>2</v>
      </c>
      <c r="F59" s="56"/>
      <c r="G59" s="57"/>
      <c r="H59" s="58"/>
      <c r="I59" s="41">
        <v>46189</v>
      </c>
      <c r="J59" s="59">
        <v>46194</v>
      </c>
      <c r="K59" s="40">
        <v>46208</v>
      </c>
      <c r="L59" s="67">
        <v>46264</v>
      </c>
      <c r="M59" s="68" t="s">
        <v>838</v>
      </c>
      <c r="N59" s="60"/>
      <c r="O59" s="61">
        <v>46265</v>
      </c>
      <c r="P59" s="25">
        <v>46254</v>
      </c>
      <c r="Q59" s="62"/>
      <c r="R59" s="63" t="str">
        <f>VLOOKUP(A59,'[2]דוח מימד'!$A:$R,18,0)</f>
        <v>יח2 -הבן 25G3521132-001 יוצא לתהליכים למקרו צבע</v>
      </c>
    </row>
    <row r="60" spans="1:37" ht="24.6" customHeight="1" x14ac:dyDescent="0.3">
      <c r="A60" s="64" t="s">
        <v>35</v>
      </c>
      <c r="B60" s="65" t="s">
        <v>36</v>
      </c>
      <c r="C60" s="54">
        <v>2342</v>
      </c>
      <c r="D60" s="54">
        <v>2342</v>
      </c>
      <c r="E60" s="55">
        <v>25</v>
      </c>
      <c r="F60" s="57"/>
      <c r="G60" s="57"/>
      <c r="H60" s="54"/>
      <c r="I60" s="41">
        <v>46251</v>
      </c>
      <c r="J60" s="66">
        <v>46267</v>
      </c>
      <c r="K60" s="66">
        <f>J60+18</f>
        <v>46285</v>
      </c>
      <c r="L60" s="67"/>
      <c r="M60" s="68"/>
      <c r="N60" s="70"/>
      <c r="O60" s="61">
        <v>46288</v>
      </c>
      <c r="P60" s="25">
        <v>46295</v>
      </c>
      <c r="Q60" s="62"/>
      <c r="R60" s="63" t="s">
        <v>526</v>
      </c>
    </row>
    <row r="61" spans="1:37" ht="46.8" x14ac:dyDescent="0.3">
      <c r="A61" s="36" t="s">
        <v>31</v>
      </c>
      <c r="B61" s="37"/>
      <c r="C61" s="37">
        <f>VLOOKUP(A61,קוביות!A:X,24,0)</f>
        <v>2341</v>
      </c>
      <c r="D61" s="38">
        <v>2341</v>
      </c>
      <c r="E61" s="39">
        <v>2</v>
      </c>
      <c r="F61" s="57"/>
      <c r="G61" s="57"/>
      <c r="H61" s="54"/>
      <c r="I61" s="41">
        <v>46188</v>
      </c>
      <c r="J61" s="41">
        <v>46210</v>
      </c>
      <c r="K61" s="41">
        <v>46212</v>
      </c>
      <c r="L61" s="67">
        <v>46264</v>
      </c>
      <c r="M61" s="68" t="s">
        <v>531</v>
      </c>
      <c r="N61" s="74"/>
      <c r="O61" s="61">
        <f>VLOOKUP(A61,'[2]דוח מימד'!$A:$O,15,0)</f>
        <v>46265</v>
      </c>
      <c r="P61" s="25">
        <f>VLOOKUP(A61,'הזמנות פתוחות'!A:D,4,0)</f>
        <v>46265</v>
      </c>
      <c r="Q61" s="62"/>
      <c r="R61" s="63" t="str">
        <f>VLOOKUP(A61,'[2]דוח מימד'!$A:$R,18,0)</f>
        <v>יצא לתהליכים</v>
      </c>
    </row>
    <row r="62" spans="1:37" ht="28.8" x14ac:dyDescent="0.3">
      <c r="A62" s="75" t="s">
        <v>33</v>
      </c>
      <c r="B62" s="76" t="s">
        <v>34</v>
      </c>
      <c r="C62" s="54">
        <f>VLOOKUP(A62,קוביות!A:X,24,0)</f>
        <v>2341</v>
      </c>
      <c r="D62" s="54">
        <v>2341</v>
      </c>
      <c r="E62" s="55">
        <v>2</v>
      </c>
      <c r="F62" s="56">
        <v>1</v>
      </c>
      <c r="G62" s="57" t="e">
        <f>#REF!+(E62/F62)</f>
        <v>#REF!</v>
      </c>
      <c r="H62" s="77"/>
      <c r="I62" s="40" t="s">
        <v>382</v>
      </c>
      <c r="J62" s="41" t="s">
        <v>382</v>
      </c>
      <c r="K62" s="41" t="s">
        <v>382</v>
      </c>
      <c r="L62" s="67"/>
      <c r="M62" s="68" t="s">
        <v>536</v>
      </c>
      <c r="N62" s="74" t="s">
        <v>380</v>
      </c>
      <c r="O62" s="61">
        <v>46274</v>
      </c>
      <c r="P62" s="25">
        <f>VLOOKUP(A62,'הזמנות פתוחות'!A:D,4,0)</f>
        <v>46280</v>
      </c>
      <c r="Q62" s="71" t="s">
        <v>377</v>
      </c>
      <c r="R62" s="63" t="s">
        <v>527</v>
      </c>
    </row>
    <row r="63" spans="1:37" ht="30.75" customHeight="1" x14ac:dyDescent="0.3">
      <c r="A63" s="78" t="s">
        <v>37</v>
      </c>
      <c r="B63" s="79"/>
      <c r="C63" s="54">
        <f>VLOOKUP(A63,קוביות!A:X,24,0)</f>
        <v>2341</v>
      </c>
      <c r="D63" s="54">
        <v>2341</v>
      </c>
      <c r="E63" s="55">
        <v>29</v>
      </c>
      <c r="F63" s="80">
        <v>1</v>
      </c>
      <c r="G63" s="57" t="e">
        <f>#REF!+(E63/F63)</f>
        <v>#REF!</v>
      </c>
      <c r="H63" s="54"/>
      <c r="I63" s="41">
        <v>46215</v>
      </c>
      <c r="J63" s="41">
        <v>46222</v>
      </c>
      <c r="K63" s="40">
        <v>46244</v>
      </c>
      <c r="L63" s="47"/>
      <c r="M63" s="48" t="s">
        <v>381</v>
      </c>
      <c r="N63" s="74" t="s">
        <v>380</v>
      </c>
      <c r="O63" s="61">
        <f>VLOOKUP(A63,'[2]דוח מימד'!$A:$O,15,0)</f>
        <v>46271</v>
      </c>
      <c r="P63" s="25">
        <f>VLOOKUP(A63,'הזמנות פתוחות'!A:D,4,0)</f>
        <v>46275</v>
      </c>
      <c r="Q63" s="62"/>
      <c r="R63" s="63" t="str">
        <f>VLOOKUP(A63,'[2]דוח מימד'!$A:$R,18,0)</f>
        <v>ממתין לקשיח -MS9105-31 ,לאחר בדיקה-צפי הגעת קשיח 04/09</v>
      </c>
    </row>
    <row r="64" spans="1:37" ht="28.2" customHeight="1" x14ac:dyDescent="0.3">
      <c r="A64" s="198" t="s">
        <v>44</v>
      </c>
      <c r="B64" s="79" t="s">
        <v>45</v>
      </c>
      <c r="C64" s="199">
        <f>VLOOKUP(A64,קוביות!A:X,24,0)</f>
        <v>2342</v>
      </c>
      <c r="D64" s="54">
        <v>2342</v>
      </c>
      <c r="E64" s="55">
        <v>12</v>
      </c>
      <c r="F64" s="57">
        <v>1</v>
      </c>
      <c r="G64" s="57" t="e">
        <f>#REF!+(E64/F64)</f>
        <v>#REF!</v>
      </c>
      <c r="H64" s="54"/>
      <c r="I64" s="40">
        <v>46040</v>
      </c>
      <c r="J64" s="41">
        <v>46058</v>
      </c>
      <c r="K64" s="66" t="s">
        <v>382</v>
      </c>
      <c r="L64" s="67" t="s">
        <v>378</v>
      </c>
      <c r="M64" s="68"/>
      <c r="N64" s="83" t="s">
        <v>378</v>
      </c>
      <c r="O64" s="61" t="s">
        <v>385</v>
      </c>
      <c r="P64" s="25">
        <f>VLOOKUP(A64,'הזמנות פתוחות'!A:D,4,0)</f>
        <v>46295</v>
      </c>
      <c r="Q64" s="71" t="s">
        <v>377</v>
      </c>
      <c r="R64" s="63" t="s">
        <v>518</v>
      </c>
    </row>
    <row r="65" spans="1:37" ht="31.2" x14ac:dyDescent="0.3">
      <c r="A65" s="64" t="s">
        <v>40</v>
      </c>
      <c r="B65" s="65" t="s">
        <v>41</v>
      </c>
      <c r="C65" s="54">
        <f>VLOOKUP(A65,קוביות!A:X,24,0)</f>
        <v>2342</v>
      </c>
      <c r="D65" s="54">
        <v>2342</v>
      </c>
      <c r="E65" s="55">
        <v>1</v>
      </c>
      <c r="F65" s="57">
        <v>1</v>
      </c>
      <c r="G65" s="57" t="e">
        <f>#REF!+(E65/F65)</f>
        <v>#REF!</v>
      </c>
      <c r="H65" s="85"/>
      <c r="I65" s="41">
        <v>46195</v>
      </c>
      <c r="J65" s="41">
        <v>46203</v>
      </c>
      <c r="K65" s="81">
        <v>46264</v>
      </c>
      <c r="L65" s="67"/>
      <c r="M65" s="68" t="s">
        <v>387</v>
      </c>
      <c r="N65" s="86"/>
      <c r="O65" s="61">
        <f>VLOOKUP(A65,'[2]דוח מימד'!$A:$O,15,0)</f>
        <v>46265</v>
      </c>
      <c r="P65" s="25">
        <f>VLOOKUP(A65,'הזמנות פתוחות'!A:D,4,0)</f>
        <v>46269</v>
      </c>
      <c r="Q65" s="71" t="s">
        <v>377</v>
      </c>
      <c r="R65" s="63" t="str">
        <f>VLOOKUP(A65,'[2]דוח מימד'!$A:$R,18,0)</f>
        <v>נשלח לתעשייה אווירית ב05/07</v>
      </c>
    </row>
    <row r="66" spans="1:37" ht="58.8" customHeight="1" x14ac:dyDescent="0.3">
      <c r="A66" s="64" t="s">
        <v>46</v>
      </c>
      <c r="B66" s="65" t="s">
        <v>47</v>
      </c>
      <c r="C66" s="54">
        <f>VLOOKUP(A66,קוביות!A:X,24,0)</f>
        <v>2342</v>
      </c>
      <c r="D66" s="54">
        <v>2342</v>
      </c>
      <c r="E66" s="55">
        <v>15</v>
      </c>
      <c r="F66" s="57"/>
      <c r="G66" s="57"/>
      <c r="H66" s="54"/>
      <c r="I66" s="41">
        <v>46177</v>
      </c>
      <c r="J66" s="41">
        <v>46219</v>
      </c>
      <c r="K66" s="81">
        <v>46265</v>
      </c>
      <c r="L66" s="67"/>
      <c r="M66" s="68" t="s">
        <v>537</v>
      </c>
      <c r="N66" s="70"/>
      <c r="O66" s="61">
        <f>VLOOKUP(A66,'[2]דוח מימד'!$A:$O,15,0)</f>
        <v>46273</v>
      </c>
      <c r="P66" s="25">
        <v>46271</v>
      </c>
      <c r="Q66" s="71" t="s">
        <v>377</v>
      </c>
      <c r="R66" s="63" t="str">
        <f>VLOOKUP(A66,'[2]דוח מימד'!$A:$R,18,0)</f>
        <v>חלק בן יצא לתהליכים30P420163101-001  ועוד 2 בנים גם יצאו לתהליכים -30P420163201-001/30P420163301-001</v>
      </c>
    </row>
    <row r="67" spans="1:37" ht="28.8" x14ac:dyDescent="0.3">
      <c r="A67" s="64" t="s">
        <v>38</v>
      </c>
      <c r="B67" s="65" t="s">
        <v>39</v>
      </c>
      <c r="C67" s="54">
        <f>VLOOKUP(A67,קוביות!A:X,24,0)</f>
        <v>2342</v>
      </c>
      <c r="D67" s="54">
        <v>2342</v>
      </c>
      <c r="E67" s="55" t="s">
        <v>840</v>
      </c>
      <c r="F67" s="57"/>
      <c r="G67" s="57"/>
      <c r="H67" s="54"/>
      <c r="I67" s="40">
        <v>46252</v>
      </c>
      <c r="J67" s="66">
        <f>I67+9</f>
        <v>46261</v>
      </c>
      <c r="K67" s="66">
        <f>J67+16</f>
        <v>46277</v>
      </c>
      <c r="L67" s="67"/>
      <c r="M67" s="68" t="s">
        <v>400</v>
      </c>
      <c r="N67" s="74"/>
      <c r="O67" s="61">
        <v>46280</v>
      </c>
      <c r="P67" s="25">
        <f>VLOOKUP(A67,'הזמנות פתוחות'!A:D,4,0)</f>
        <v>46280</v>
      </c>
      <c r="Q67" s="62"/>
      <c r="R67" s="63" t="s">
        <v>839</v>
      </c>
    </row>
    <row r="68" spans="1:37" customFormat="1" ht="43.2" x14ac:dyDescent="0.3">
      <c r="A68" s="64" t="s">
        <v>24</v>
      </c>
      <c r="B68" s="65" t="s">
        <v>25</v>
      </c>
      <c r="C68" s="54">
        <v>3005</v>
      </c>
      <c r="D68" s="54">
        <v>3005</v>
      </c>
      <c r="E68" s="55">
        <v>8</v>
      </c>
      <c r="F68" s="57"/>
      <c r="G68" s="57"/>
      <c r="H68" s="54"/>
      <c r="I68" s="41">
        <v>46152</v>
      </c>
      <c r="J68" s="41" t="s">
        <v>382</v>
      </c>
      <c r="K68" s="40" t="s">
        <v>382</v>
      </c>
      <c r="L68" s="47" t="s">
        <v>382</v>
      </c>
      <c r="M68" s="48" t="s">
        <v>408</v>
      </c>
      <c r="N68" s="69" t="s">
        <v>380</v>
      </c>
      <c r="O68" s="61">
        <v>46275</v>
      </c>
      <c r="P68" s="25">
        <f>VLOOKUP(A68,'הזמנות פתוחות'!A:D,4,0)</f>
        <v>46251</v>
      </c>
      <c r="Q68" s="62"/>
      <c r="R68" s="63" t="s">
        <v>824</v>
      </c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</row>
    <row r="69" spans="1:37" ht="20.399999999999999" customHeight="1" x14ac:dyDescent="0.3">
      <c r="A69" s="64" t="s">
        <v>49</v>
      </c>
      <c r="B69" s="65" t="s">
        <v>50</v>
      </c>
      <c r="C69" s="54">
        <f>VLOOKUP(A69,קוביות!A:X,24,0)</f>
        <v>3005</v>
      </c>
      <c r="D69" s="54">
        <v>3005</v>
      </c>
      <c r="E69" s="55">
        <v>12</v>
      </c>
      <c r="F69" s="57"/>
      <c r="G69" s="57"/>
      <c r="H69" s="54"/>
      <c r="I69" s="66">
        <f>VLOOKUP(A69,'[1]תכנית ייצור'!$D:$H,5,0)</f>
        <v>46279</v>
      </c>
      <c r="J69" s="66">
        <f>I69+11</f>
        <v>46290</v>
      </c>
      <c r="K69" s="66">
        <f t="shared" ref="K69:K81" si="0">J69+16</f>
        <v>46306</v>
      </c>
      <c r="L69" s="200"/>
      <c r="M69" s="68" t="s">
        <v>400</v>
      </c>
      <c r="N69" s="70"/>
      <c r="O69" s="61">
        <v>46285</v>
      </c>
      <c r="P69" s="25">
        <f>VLOOKUP(A69,'הזמנות פתוחות'!A:D,4,0)</f>
        <v>46295</v>
      </c>
      <c r="Q69" s="62"/>
      <c r="R69" s="63">
        <f>VLOOKUP(A69,'[2]דוח מימד'!$A:$R,18,0)</f>
        <v>0</v>
      </c>
    </row>
    <row r="70" spans="1:37" ht="30.75" customHeight="1" x14ac:dyDescent="0.3">
      <c r="A70" s="75" t="s">
        <v>56</v>
      </c>
      <c r="B70" s="65" t="s">
        <v>57</v>
      </c>
      <c r="C70" s="54">
        <f>VLOOKUP(A70,קוביות!A:X,24,0)</f>
        <v>3006</v>
      </c>
      <c r="D70" s="54">
        <v>3006</v>
      </c>
      <c r="E70" s="55">
        <v>12</v>
      </c>
      <c r="F70" s="87">
        <v>1</v>
      </c>
      <c r="G70" s="88" t="e">
        <f>#REF!+(E70/F70)</f>
        <v>#REF!</v>
      </c>
      <c r="H70" s="89"/>
      <c r="I70" s="40">
        <v>46258</v>
      </c>
      <c r="J70" s="171">
        <f>I70+7</f>
        <v>46265</v>
      </c>
      <c r="K70" s="66">
        <f t="shared" si="0"/>
        <v>46281</v>
      </c>
      <c r="L70" s="67"/>
      <c r="M70" s="68" t="s">
        <v>400</v>
      </c>
      <c r="N70" s="54"/>
      <c r="O70" s="61">
        <v>46302</v>
      </c>
      <c r="P70" s="25">
        <v>46283</v>
      </c>
      <c r="Q70" s="62"/>
      <c r="R70" s="63" t="s">
        <v>826</v>
      </c>
    </row>
    <row r="71" spans="1:37" ht="27" customHeight="1" x14ac:dyDescent="0.3">
      <c r="A71" s="75" t="s">
        <v>58</v>
      </c>
      <c r="B71" s="65" t="s">
        <v>59</v>
      </c>
      <c r="C71" s="54">
        <f>VLOOKUP(A71,קוביות!A:X,24,0)</f>
        <v>3006</v>
      </c>
      <c r="D71" s="54">
        <v>3006</v>
      </c>
      <c r="E71" s="55">
        <v>10</v>
      </c>
      <c r="F71" s="57"/>
      <c r="G71" s="57"/>
      <c r="H71" s="54"/>
      <c r="I71" s="40">
        <f>VLOOKUP(A71,'[1]תכנית ייצור'!$D:$H,5,0)</f>
        <v>46266</v>
      </c>
      <c r="J71" s="66">
        <v>46281</v>
      </c>
      <c r="K71" s="66">
        <f t="shared" si="0"/>
        <v>46297</v>
      </c>
      <c r="L71" s="67"/>
      <c r="M71" s="68" t="s">
        <v>400</v>
      </c>
      <c r="N71" s="86"/>
      <c r="O71" s="61">
        <f>VLOOKUP(A71,'[2]דוח מימד'!$A:$O,15,0)</f>
        <v>46304</v>
      </c>
      <c r="P71" s="25">
        <f>VLOOKUP(A71,'הזמנות פתוחות'!A:D,4,0)</f>
        <v>46300</v>
      </c>
      <c r="Q71" s="62"/>
      <c r="R71" s="63" t="s">
        <v>826</v>
      </c>
    </row>
    <row r="72" spans="1:37" ht="28.8" x14ac:dyDescent="0.3">
      <c r="A72" s="64" t="s">
        <v>60</v>
      </c>
      <c r="B72" s="65" t="s">
        <v>61</v>
      </c>
      <c r="C72" s="54">
        <f>VLOOKUP(A72,קוביות!A:X,24,0)</f>
        <v>3006</v>
      </c>
      <c r="D72" s="54">
        <v>3006</v>
      </c>
      <c r="E72" s="55">
        <v>13</v>
      </c>
      <c r="F72" s="57">
        <v>1</v>
      </c>
      <c r="G72" s="57" t="e">
        <f>#REF!+(E72/F72)</f>
        <v>#REF!</v>
      </c>
      <c r="H72" s="85"/>
      <c r="I72" s="40">
        <v>46253</v>
      </c>
      <c r="J72" s="66">
        <v>46261</v>
      </c>
      <c r="K72" s="66">
        <f t="shared" si="0"/>
        <v>46277</v>
      </c>
      <c r="L72" s="67"/>
      <c r="M72" s="68" t="s">
        <v>400</v>
      </c>
      <c r="N72" s="72"/>
      <c r="O72" s="61">
        <v>46281</v>
      </c>
      <c r="P72" s="25">
        <f>VLOOKUP(A72,'הזמנות פתוחות'!A:D,4,0)</f>
        <v>46245</v>
      </c>
      <c r="Q72" s="71" t="s">
        <v>377</v>
      </c>
      <c r="R72" s="63" t="s">
        <v>538</v>
      </c>
    </row>
    <row r="73" spans="1:37" ht="17.399999999999999" customHeight="1" x14ac:dyDescent="0.3">
      <c r="A73" s="64" t="s">
        <v>54</v>
      </c>
      <c r="B73" s="65" t="s">
        <v>55</v>
      </c>
      <c r="C73" s="54">
        <f>VLOOKUP(A73,קוביות!A:X,24,0)</f>
        <v>3006</v>
      </c>
      <c r="D73" s="54">
        <v>3008</v>
      </c>
      <c r="E73" s="55">
        <v>12</v>
      </c>
      <c r="F73" s="57">
        <v>1</v>
      </c>
      <c r="G73" s="57" t="e">
        <f>#REF!+(E73/F73)</f>
        <v>#REF!</v>
      </c>
      <c r="H73" s="54"/>
      <c r="I73" s="40">
        <v>46258</v>
      </c>
      <c r="J73" s="66">
        <f>I73+6</f>
        <v>46264</v>
      </c>
      <c r="K73" s="66">
        <f>J73+16</f>
        <v>46280</v>
      </c>
      <c r="L73" s="67" t="s">
        <v>378</v>
      </c>
      <c r="M73" s="68">
        <v>0</v>
      </c>
      <c r="N73" s="84" t="s">
        <v>380</v>
      </c>
      <c r="O73" s="61">
        <v>46281</v>
      </c>
      <c r="P73" s="25">
        <f>VLOOKUP(A73,'הזמנות פתוחות'!A:D,4,0)</f>
        <v>46275</v>
      </c>
      <c r="Q73" s="62"/>
      <c r="R73" s="63">
        <f>VLOOKUP(A73,'[2]דוח מימד'!$A:$R,18,0)</f>
        <v>0</v>
      </c>
    </row>
    <row r="74" spans="1:37" ht="19.2" customHeight="1" x14ac:dyDescent="0.3">
      <c r="A74" s="75" t="s">
        <v>62</v>
      </c>
      <c r="B74" s="65" t="s">
        <v>63</v>
      </c>
      <c r="C74" s="54">
        <f>VLOOKUP(A74,קוביות!A:X,24,0)</f>
        <v>3007</v>
      </c>
      <c r="D74" s="54">
        <v>3007</v>
      </c>
      <c r="E74" s="55"/>
      <c r="F74" s="57"/>
      <c r="G74" s="57"/>
      <c r="H74" s="54"/>
      <c r="I74" s="66">
        <v>46258</v>
      </c>
      <c r="J74" s="66">
        <v>46279</v>
      </c>
      <c r="K74" s="66">
        <f>J74+18</f>
        <v>46297</v>
      </c>
      <c r="L74" s="67"/>
      <c r="M74" s="68" t="s">
        <v>400</v>
      </c>
      <c r="N74" s="70"/>
      <c r="O74" s="61">
        <v>46309</v>
      </c>
      <c r="P74" s="25">
        <v>46287</v>
      </c>
      <c r="Q74" s="62"/>
      <c r="R74" s="63" t="s">
        <v>826</v>
      </c>
    </row>
    <row r="75" spans="1:37" ht="31.2" x14ac:dyDescent="0.3">
      <c r="A75" s="64" t="s">
        <v>67</v>
      </c>
      <c r="B75" s="65" t="s">
        <v>68</v>
      </c>
      <c r="C75" s="54">
        <f>VLOOKUP(A75,קוביות!A:X,24,0)</f>
        <v>3008</v>
      </c>
      <c r="D75" s="54">
        <v>3008</v>
      </c>
      <c r="E75" s="55">
        <v>16</v>
      </c>
      <c r="F75" s="57"/>
      <c r="G75" s="57" t="e">
        <f>#REF!+(E75/F75)</f>
        <v>#REF!</v>
      </c>
      <c r="H75" s="54"/>
      <c r="I75" s="40">
        <v>46161</v>
      </c>
      <c r="J75" s="41" t="s">
        <v>382</v>
      </c>
      <c r="K75" s="66">
        <v>46261</v>
      </c>
      <c r="L75" s="67"/>
      <c r="M75" s="68" t="s">
        <v>519</v>
      </c>
      <c r="N75" s="90"/>
      <c r="O75" s="61">
        <v>46269</v>
      </c>
      <c r="P75" s="25">
        <f>VLOOKUP(A75,'הזמנות פתוחות'!A:D,4,0)</f>
        <v>46271</v>
      </c>
      <c r="Q75" s="62"/>
      <c r="R75" s="63" t="str">
        <f>VLOOKUP(A75,'[2]דוח מימד'!$A:$R,18,0)</f>
        <v>חלקים יצאו-בן 30P410118101-001 לתהליכים</v>
      </c>
    </row>
    <row r="76" spans="1:37" x14ac:dyDescent="0.3">
      <c r="A76" s="64" t="s">
        <v>66</v>
      </c>
      <c r="B76" s="65" t="s">
        <v>388</v>
      </c>
      <c r="C76" s="54">
        <f>VLOOKUP(A76,קוביות!A:X,24,0)</f>
        <v>3008</v>
      </c>
      <c r="D76" s="54">
        <v>3008</v>
      </c>
      <c r="E76" s="55">
        <v>12</v>
      </c>
      <c r="F76" s="57"/>
      <c r="G76" s="57"/>
      <c r="H76" s="54"/>
      <c r="I76" s="66">
        <v>46261</v>
      </c>
      <c r="J76" s="66">
        <f t="shared" ref="J76:J81" si="1">I76+6</f>
        <v>46267</v>
      </c>
      <c r="K76" s="66">
        <f t="shared" si="0"/>
        <v>46283</v>
      </c>
      <c r="L76" s="67"/>
      <c r="M76" s="68">
        <v>0</v>
      </c>
      <c r="N76" s="74"/>
      <c r="O76" s="61">
        <f>VLOOKUP(A76,'[2]דוח מימד'!$A:$O,15,0)</f>
        <v>46300</v>
      </c>
      <c r="P76" s="25">
        <v>46299</v>
      </c>
      <c r="Q76" s="62"/>
      <c r="R76" s="63">
        <f>VLOOKUP(A76,'[2]דוח מימד'!$A:$R,18,0)</f>
        <v>0</v>
      </c>
    </row>
    <row r="77" spans="1:37" x14ac:dyDescent="0.3">
      <c r="A77" s="64" t="s">
        <v>64</v>
      </c>
      <c r="B77" s="65" t="s">
        <v>65</v>
      </c>
      <c r="C77" s="54">
        <f>VLOOKUP(A77,קוביות!A:X,24,0)</f>
        <v>3008</v>
      </c>
      <c r="D77" s="54">
        <v>3008</v>
      </c>
      <c r="E77" s="80">
        <v>12</v>
      </c>
      <c r="F77" s="57">
        <v>1</v>
      </c>
      <c r="G77" s="57" t="e">
        <f>#REF!+(E77/F77)</f>
        <v>#REF!</v>
      </c>
      <c r="H77" s="54"/>
      <c r="I77" s="66">
        <f>VLOOKUP(A77,'[1]תכנית ייצור'!$B:$H,7,0)</f>
        <v>46279</v>
      </c>
      <c r="J77" s="66">
        <f t="shared" si="1"/>
        <v>46285</v>
      </c>
      <c r="K77" s="66">
        <f t="shared" si="0"/>
        <v>46301</v>
      </c>
      <c r="L77" s="67" t="s">
        <v>378</v>
      </c>
      <c r="M77" s="68">
        <v>0</v>
      </c>
      <c r="N77" s="84" t="s">
        <v>378</v>
      </c>
      <c r="O77" s="61">
        <f>VLOOKUP(A77,'[2]דוח מימד'!$A:$O,15,0)</f>
        <v>46290</v>
      </c>
      <c r="P77" s="25">
        <v>46301</v>
      </c>
      <c r="Q77" s="62"/>
      <c r="R77" s="63">
        <f>VLOOKUP(A77,'[2]דוח מימד'!$A:$R,18,0)</f>
        <v>0</v>
      </c>
    </row>
    <row r="78" spans="1:37" x14ac:dyDescent="0.3">
      <c r="A78" s="64" t="s">
        <v>69</v>
      </c>
      <c r="B78" s="65" t="s">
        <v>70</v>
      </c>
      <c r="C78" s="54">
        <f>VLOOKUP(A78,קוביות!A:X,24,0)</f>
        <v>3009</v>
      </c>
      <c r="D78" s="54">
        <v>3009</v>
      </c>
      <c r="E78" s="55">
        <v>12</v>
      </c>
      <c r="F78" s="80">
        <v>1</v>
      </c>
      <c r="G78" s="57" t="e">
        <f>#REF!+(E78/F78)</f>
        <v>#REF!</v>
      </c>
      <c r="H78" s="54"/>
      <c r="I78" s="40">
        <v>46246</v>
      </c>
      <c r="J78" s="171">
        <v>46257</v>
      </c>
      <c r="K78" s="66">
        <f>J78+16</f>
        <v>46273</v>
      </c>
      <c r="L78" s="67" t="s">
        <v>378</v>
      </c>
      <c r="M78" s="68">
        <v>0</v>
      </c>
      <c r="N78" s="74" t="s">
        <v>380</v>
      </c>
      <c r="O78" s="61">
        <v>46275</v>
      </c>
      <c r="P78" s="25">
        <v>46272</v>
      </c>
      <c r="Q78" s="62"/>
      <c r="R78" s="63" t="str">
        <f>VLOOKUP(A78,'[2]דוח מימד'!$A:$R,18,0)</f>
        <v>בעבודה</v>
      </c>
    </row>
    <row r="79" spans="1:37" ht="21" customHeight="1" x14ac:dyDescent="0.3">
      <c r="A79" s="64" t="s">
        <v>73</v>
      </c>
      <c r="B79" s="65" t="s">
        <v>74</v>
      </c>
      <c r="C79" s="54">
        <f>VLOOKUP(A79,קוביות!A:X,24,0)</f>
        <v>3009</v>
      </c>
      <c r="D79" s="54">
        <v>3009</v>
      </c>
      <c r="E79" s="55">
        <v>12</v>
      </c>
      <c r="F79" s="57">
        <v>1</v>
      </c>
      <c r="G79" s="57" t="e">
        <f>#REF!+(E79/F79)</f>
        <v>#REF!</v>
      </c>
      <c r="H79" s="54"/>
      <c r="I79" s="66">
        <f>VLOOKUP(A79,'[1]תכנית ייצור'!$B:$H,7,0)</f>
        <v>46284</v>
      </c>
      <c r="J79" s="66">
        <f t="shared" si="1"/>
        <v>46290</v>
      </c>
      <c r="K79" s="66">
        <f t="shared" si="0"/>
        <v>46306</v>
      </c>
      <c r="L79" s="67" t="s">
        <v>378</v>
      </c>
      <c r="M79" s="68">
        <v>0</v>
      </c>
      <c r="N79" s="84" t="s">
        <v>378</v>
      </c>
      <c r="O79" s="61">
        <f>VLOOKUP(A79,'[2]דוח מימד'!$A:$O,15,0)</f>
        <v>46295</v>
      </c>
      <c r="P79" s="25">
        <v>46305</v>
      </c>
      <c r="Q79" s="62"/>
      <c r="R79" s="63">
        <f>VLOOKUP(A79,'[2]דוח מימד'!$A:$R,18,0)</f>
        <v>0</v>
      </c>
    </row>
    <row r="80" spans="1:37" x14ac:dyDescent="0.3">
      <c r="A80" s="64" t="s">
        <v>71</v>
      </c>
      <c r="B80" s="65" t="s">
        <v>72</v>
      </c>
      <c r="C80" s="54">
        <f>VLOOKUP(A80,קוביות!A:X,24,0)</f>
        <v>3009</v>
      </c>
      <c r="D80" s="54">
        <v>3009</v>
      </c>
      <c r="E80" s="55">
        <v>12</v>
      </c>
      <c r="F80" s="80">
        <v>1</v>
      </c>
      <c r="G80" s="57" t="e">
        <f>#REF!+(E80/F80)</f>
        <v>#REF!</v>
      </c>
      <c r="H80" s="54"/>
      <c r="I80" s="66">
        <f>VLOOKUP(A80,'[1]תכנית ייצור'!$B:$H,7,0)</f>
        <v>46283</v>
      </c>
      <c r="J80" s="66">
        <f t="shared" si="1"/>
        <v>46289</v>
      </c>
      <c r="K80" s="66">
        <f t="shared" si="0"/>
        <v>46305</v>
      </c>
      <c r="L80" s="67"/>
      <c r="M80" s="68">
        <v>0</v>
      </c>
      <c r="N80" s="74"/>
      <c r="O80" s="61">
        <f>VLOOKUP(A80,'[2]דוח מימד'!$A:$O,15,0)</f>
        <v>46277</v>
      </c>
      <c r="P80" s="25">
        <f>VLOOKUP(A80,'הזמנות פתוחות'!A:D,4,0)</f>
        <v>46271</v>
      </c>
      <c r="Q80" s="62"/>
      <c r="R80" s="63">
        <f>VLOOKUP(A80,'[2]דוח מימד'!$A:$R,18,0)</f>
        <v>0</v>
      </c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 spans="1:37" x14ac:dyDescent="0.3">
      <c r="A81" s="64" t="s">
        <v>75</v>
      </c>
      <c r="B81" s="65" t="s">
        <v>76</v>
      </c>
      <c r="C81" s="54">
        <f>VLOOKUP(A81,קוביות!A:X,24,0)</f>
        <v>3009</v>
      </c>
      <c r="D81" s="54">
        <v>3009</v>
      </c>
      <c r="E81" s="55"/>
      <c r="F81" s="57"/>
      <c r="G81" s="57"/>
      <c r="H81" s="54"/>
      <c r="I81" s="66">
        <f>VLOOKUP(A81,'[1]תכנית ייצור'!$D:$H,5,0)</f>
        <v>46270</v>
      </c>
      <c r="J81" s="66">
        <f t="shared" si="1"/>
        <v>46276</v>
      </c>
      <c r="K81" s="66">
        <f t="shared" si="0"/>
        <v>46292</v>
      </c>
      <c r="L81" s="67"/>
      <c r="M81" s="68">
        <v>0</v>
      </c>
      <c r="N81" s="74"/>
      <c r="O81" s="61">
        <f>VLOOKUP(A81,'[2]דוח מימד'!$A:$O,15,0)</f>
        <v>46279</v>
      </c>
      <c r="P81" s="25">
        <f>VLOOKUP(A81,'הזמנות פתוחות'!A:D,4,0)</f>
        <v>46295</v>
      </c>
      <c r="Q81" s="62"/>
      <c r="R81" s="63">
        <f>VLOOKUP(A81,'[2]דוח מימד'!$A:$R,18,0)</f>
        <v>0</v>
      </c>
    </row>
    <row r="82" spans="1:37" ht="31.2" x14ac:dyDescent="0.3">
      <c r="A82" s="91" t="s">
        <v>292</v>
      </c>
      <c r="B82" s="65" t="s">
        <v>293</v>
      </c>
      <c r="C82" s="54" t="s">
        <v>435</v>
      </c>
      <c r="D82" s="54">
        <v>3009</v>
      </c>
      <c r="E82" s="80">
        <v>16</v>
      </c>
      <c r="F82" s="80">
        <v>1</v>
      </c>
      <c r="G82" s="57" t="e">
        <f>#REF!+(E82/F82)</f>
        <v>#REF!</v>
      </c>
      <c r="H82" s="54"/>
      <c r="I82" s="40">
        <v>46246</v>
      </c>
      <c r="J82" s="40">
        <v>46250</v>
      </c>
      <c r="K82" s="66">
        <v>46272</v>
      </c>
      <c r="L82" s="67"/>
      <c r="M82" s="68" t="s">
        <v>539</v>
      </c>
      <c r="N82" s="72"/>
      <c r="O82" s="61">
        <f t="shared" ref="O82:O130" si="2">K82+3</f>
        <v>46275</v>
      </c>
      <c r="P82" s="25">
        <f>VLOOKUP(A82,'הזמנות פתוחות'!A:D,4,0)</f>
        <v>46300</v>
      </c>
      <c r="Q82" s="62"/>
      <c r="R82" s="63" t="s">
        <v>384</v>
      </c>
    </row>
    <row r="83" spans="1:37" ht="28.8" x14ac:dyDescent="0.3">
      <c r="A83" s="64" t="s">
        <v>77</v>
      </c>
      <c r="B83" s="65" t="s">
        <v>78</v>
      </c>
      <c r="C83" s="54">
        <f>VLOOKUP(A83,קוביות!A:X,24,0)</f>
        <v>3010</v>
      </c>
      <c r="D83" s="54">
        <v>3010</v>
      </c>
      <c r="E83" s="55">
        <v>15</v>
      </c>
      <c r="F83" s="57"/>
      <c r="G83" s="57"/>
      <c r="H83" s="54"/>
      <c r="I83" s="40" t="s">
        <v>382</v>
      </c>
      <c r="J83" s="66">
        <v>46252</v>
      </c>
      <c r="K83" s="66">
        <f>J83+16</f>
        <v>46268</v>
      </c>
      <c r="L83" s="67"/>
      <c r="M83" s="68">
        <v>0</v>
      </c>
      <c r="N83" s="86"/>
      <c r="O83" s="61">
        <f t="shared" si="2"/>
        <v>46271</v>
      </c>
      <c r="P83" s="25">
        <f>VLOOKUP(A83,'הזמנות פתוחות'!A:D,4,0)</f>
        <v>46260</v>
      </c>
      <c r="Q83" s="62"/>
      <c r="R83" s="63" t="s">
        <v>520</v>
      </c>
    </row>
    <row r="84" spans="1:37" x14ac:dyDescent="0.3">
      <c r="A84" s="64" t="s">
        <v>84</v>
      </c>
      <c r="B84" s="65" t="s">
        <v>390</v>
      </c>
      <c r="C84" s="54">
        <f>VLOOKUP(A84,קוביות!A:X,24,0)</f>
        <v>3011</v>
      </c>
      <c r="D84" s="54">
        <v>3011</v>
      </c>
      <c r="E84" s="55">
        <v>15</v>
      </c>
      <c r="F84" s="57"/>
      <c r="G84" s="57"/>
      <c r="H84" s="54"/>
      <c r="I84" s="66">
        <f>VLOOKUP(A84,'[1]תכנית ייצור'!$D:$H,5,0)</f>
        <v>46321</v>
      </c>
      <c r="J84" s="66">
        <f t="shared" ref="J84:J92" si="3">I84+6</f>
        <v>46327</v>
      </c>
      <c r="K84" s="66">
        <f t="shared" ref="K84:K139" si="4">J84+16</f>
        <v>46343</v>
      </c>
      <c r="L84" s="67"/>
      <c r="M84" s="68">
        <v>0</v>
      </c>
      <c r="N84" s="74"/>
      <c r="O84" s="61">
        <f t="shared" si="2"/>
        <v>46346</v>
      </c>
      <c r="P84" s="25">
        <f>VLOOKUP(A84,'הזמנות פתוחות'!A:D,4,0)</f>
        <v>46350</v>
      </c>
      <c r="Q84" s="62"/>
      <c r="R84" s="63">
        <v>0</v>
      </c>
    </row>
    <row r="85" spans="1:37" ht="17.399999999999999" customHeight="1" x14ac:dyDescent="0.3">
      <c r="A85" s="64" t="s">
        <v>79</v>
      </c>
      <c r="B85" s="65"/>
      <c r="C85" s="54">
        <f>VLOOKUP(A85,קוביות!A:X,24,0)</f>
        <v>3011</v>
      </c>
      <c r="D85" s="54">
        <v>3011</v>
      </c>
      <c r="E85" s="82"/>
      <c r="F85" s="93"/>
      <c r="G85" s="93"/>
      <c r="H85" s="85"/>
      <c r="I85" s="66">
        <f>VLOOKUP(A85,'[1]תכנית ייצור'!$D:$H,5,0)</f>
        <v>46309</v>
      </c>
      <c r="J85" s="66">
        <f t="shared" si="3"/>
        <v>46315</v>
      </c>
      <c r="K85" s="66">
        <f t="shared" si="4"/>
        <v>46331</v>
      </c>
      <c r="L85" s="67"/>
      <c r="M85" s="68">
        <v>0</v>
      </c>
      <c r="N85" s="90"/>
      <c r="O85" s="61">
        <f t="shared" si="2"/>
        <v>46334</v>
      </c>
      <c r="P85" s="25">
        <f>VLOOKUP(A85,'הזמנות פתוחות'!A:D,4,0)</f>
        <v>46331</v>
      </c>
      <c r="Q85" s="94"/>
      <c r="R85" s="63">
        <v>0</v>
      </c>
    </row>
    <row r="86" spans="1:37" x14ac:dyDescent="0.3">
      <c r="A86" s="64" t="s">
        <v>85</v>
      </c>
      <c r="B86" s="95" t="s">
        <v>86</v>
      </c>
      <c r="C86" s="54">
        <f>VLOOKUP(A86,קוביות!A:X,24,0)</f>
        <v>3012</v>
      </c>
      <c r="D86" s="54">
        <v>3012</v>
      </c>
      <c r="E86" s="96"/>
      <c r="F86" s="57"/>
      <c r="G86" s="57"/>
      <c r="H86" s="92"/>
      <c r="I86" s="66">
        <f>VLOOKUP(A86,'[1]תכנית ייצור'!$D:$H,5,0)</f>
        <v>46277</v>
      </c>
      <c r="J86" s="66">
        <f t="shared" si="3"/>
        <v>46283</v>
      </c>
      <c r="K86" s="66">
        <f t="shared" si="4"/>
        <v>46299</v>
      </c>
      <c r="L86" s="67"/>
      <c r="M86" s="68">
        <v>0</v>
      </c>
      <c r="N86" s="90"/>
      <c r="O86" s="61">
        <f t="shared" si="2"/>
        <v>46302</v>
      </c>
      <c r="P86" s="25">
        <v>46300</v>
      </c>
      <c r="Q86" s="62"/>
      <c r="R86" s="63">
        <v>0</v>
      </c>
    </row>
    <row r="87" spans="1:37" x14ac:dyDescent="0.3">
      <c r="A87" s="64" t="s">
        <v>89</v>
      </c>
      <c r="B87" s="65" t="s">
        <v>90</v>
      </c>
      <c r="C87" s="54">
        <f>VLOOKUP(A87,קוביות!A:X,24,0)</f>
        <v>3013</v>
      </c>
      <c r="D87" s="54">
        <v>3013</v>
      </c>
      <c r="E87" s="55">
        <v>12</v>
      </c>
      <c r="F87" s="57">
        <v>1</v>
      </c>
      <c r="G87" s="57" t="e">
        <f>#REF!+(E87/F87)</f>
        <v>#REF!</v>
      </c>
      <c r="H87" s="54"/>
      <c r="I87" s="66">
        <v>46270</v>
      </c>
      <c r="J87" s="66">
        <f t="shared" si="3"/>
        <v>46276</v>
      </c>
      <c r="K87" s="66">
        <f t="shared" si="4"/>
        <v>46292</v>
      </c>
      <c r="L87" s="67"/>
      <c r="M87" s="68">
        <v>0</v>
      </c>
      <c r="N87" s="74"/>
      <c r="O87" s="61">
        <f t="shared" si="2"/>
        <v>46295</v>
      </c>
      <c r="P87" s="25">
        <f>VLOOKUP(A87,'הזמנות פתוחות'!A:D,4,0)</f>
        <v>46290</v>
      </c>
      <c r="Q87" s="62"/>
      <c r="R87" s="63">
        <v>0</v>
      </c>
    </row>
    <row r="88" spans="1:37" x14ac:dyDescent="0.3">
      <c r="A88" s="64" t="s">
        <v>91</v>
      </c>
      <c r="B88" s="65" t="s">
        <v>388</v>
      </c>
      <c r="C88" s="54">
        <f>VLOOKUP(A88,קוביות!A:X,24,0)</f>
        <v>3013</v>
      </c>
      <c r="D88" s="54">
        <v>3013</v>
      </c>
      <c r="E88" s="55">
        <v>12</v>
      </c>
      <c r="F88" s="95">
        <v>1</v>
      </c>
      <c r="G88" s="57" t="e">
        <f>#REF!+(E88/F88)</f>
        <v>#REF!</v>
      </c>
      <c r="H88" s="95"/>
      <c r="I88" s="66">
        <f>VLOOKUP(A88,'[1]תכנית ייצור'!$D:$H,5,0)</f>
        <v>46335</v>
      </c>
      <c r="J88" s="66">
        <f t="shared" si="3"/>
        <v>46341</v>
      </c>
      <c r="K88" s="66">
        <f t="shared" si="4"/>
        <v>46357</v>
      </c>
      <c r="L88" s="172"/>
      <c r="M88" s="68">
        <v>0</v>
      </c>
      <c r="N88" s="74" t="s">
        <v>380</v>
      </c>
      <c r="O88" s="61">
        <f t="shared" si="2"/>
        <v>46360</v>
      </c>
      <c r="P88" s="25">
        <v>46348</v>
      </c>
      <c r="Q88" s="62"/>
      <c r="R88" s="63">
        <v>0</v>
      </c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/>
    </row>
    <row r="89" spans="1:37" x14ac:dyDescent="0.3">
      <c r="A89" s="64" t="s">
        <v>93</v>
      </c>
      <c r="B89" s="65" t="s">
        <v>94</v>
      </c>
      <c r="C89" s="54">
        <f>VLOOKUP(A89,קוביות!A:X,24,0)</f>
        <v>3013</v>
      </c>
      <c r="D89" s="54">
        <v>3013</v>
      </c>
      <c r="E89" s="80">
        <v>12</v>
      </c>
      <c r="F89" s="57">
        <v>1</v>
      </c>
      <c r="G89" s="57" t="e">
        <f>#REF!+(E89/F89)</f>
        <v>#REF!</v>
      </c>
      <c r="H89" s="85"/>
      <c r="I89" s="40">
        <v>46233</v>
      </c>
      <c r="J89" s="171">
        <v>46250</v>
      </c>
      <c r="K89" s="66">
        <f t="shared" si="4"/>
        <v>46266</v>
      </c>
      <c r="L89" s="67"/>
      <c r="M89" s="68">
        <v>0</v>
      </c>
      <c r="N89" s="84"/>
      <c r="O89" s="61">
        <f t="shared" si="2"/>
        <v>46269</v>
      </c>
      <c r="P89" s="25">
        <v>46270</v>
      </c>
      <c r="Q89" s="62"/>
      <c r="R89" s="63">
        <v>0</v>
      </c>
    </row>
    <row r="90" spans="1:37" x14ac:dyDescent="0.3">
      <c r="A90" s="64" t="s">
        <v>95</v>
      </c>
      <c r="B90" s="99"/>
      <c r="C90" s="54">
        <f>VLOOKUP(A90,קוביות!A:X,24,0)</f>
        <v>3013</v>
      </c>
      <c r="D90" s="54">
        <v>3013</v>
      </c>
      <c r="E90" s="80">
        <v>12</v>
      </c>
      <c r="F90" s="100">
        <v>1</v>
      </c>
      <c r="G90" s="93" t="e">
        <f>#REF!+(E90/F90)</f>
        <v>#REF!</v>
      </c>
      <c r="H90" s="101"/>
      <c r="I90" s="66">
        <v>46302</v>
      </c>
      <c r="J90" s="66">
        <f t="shared" si="3"/>
        <v>46308</v>
      </c>
      <c r="K90" s="66">
        <f t="shared" si="4"/>
        <v>46324</v>
      </c>
      <c r="L90" s="67"/>
      <c r="M90" s="68">
        <v>0</v>
      </c>
      <c r="N90" s="74"/>
      <c r="O90" s="61">
        <f t="shared" si="2"/>
        <v>46327</v>
      </c>
      <c r="P90" s="25">
        <f>VLOOKUP(A90,'הזמנות פתוחות'!A:D,4,0)</f>
        <v>46310</v>
      </c>
      <c r="Q90" s="94"/>
      <c r="R90" s="63">
        <v>0</v>
      </c>
    </row>
    <row r="91" spans="1:37" ht="21.6" customHeight="1" x14ac:dyDescent="0.3">
      <c r="A91" s="64" t="s">
        <v>80</v>
      </c>
      <c r="B91" s="65" t="s">
        <v>81</v>
      </c>
      <c r="C91" s="54">
        <f>VLOOKUP(A91,קוביות!A:X,24,0)</f>
        <v>3014</v>
      </c>
      <c r="D91" s="54">
        <v>3014</v>
      </c>
      <c r="E91" s="55">
        <v>12</v>
      </c>
      <c r="F91" s="57">
        <v>1</v>
      </c>
      <c r="G91" s="57" t="e">
        <f>#REF!+(E91/F91)</f>
        <v>#REF!</v>
      </c>
      <c r="H91" s="54"/>
      <c r="I91" s="66">
        <f>VLOOKUP(A91,'[1]תכנית ייצור'!$B:$H,7,0)</f>
        <v>46370</v>
      </c>
      <c r="J91" s="66">
        <f t="shared" si="3"/>
        <v>46376</v>
      </c>
      <c r="K91" s="66">
        <f t="shared" si="4"/>
        <v>46392</v>
      </c>
      <c r="L91" s="67" t="s">
        <v>378</v>
      </c>
      <c r="M91" s="68">
        <v>0</v>
      </c>
      <c r="N91" s="84" t="s">
        <v>378</v>
      </c>
      <c r="O91" s="61">
        <f t="shared" si="2"/>
        <v>46395</v>
      </c>
      <c r="P91" s="25">
        <f>VLOOKUP(A91,'הזמנות פתוחות'!A:D,4,0)</f>
        <v>46370</v>
      </c>
      <c r="Q91" s="62"/>
      <c r="R91" s="63">
        <v>0</v>
      </c>
    </row>
    <row r="92" spans="1:37" x14ac:dyDescent="0.3">
      <c r="A92" s="64" t="s">
        <v>97</v>
      </c>
      <c r="B92" s="65" t="s">
        <v>98</v>
      </c>
      <c r="C92" s="54">
        <f>VLOOKUP(A92,קוביות!A:X,24,0)</f>
        <v>3014</v>
      </c>
      <c r="D92" s="54">
        <v>3014</v>
      </c>
      <c r="E92" s="55">
        <v>12</v>
      </c>
      <c r="F92" s="57">
        <v>1</v>
      </c>
      <c r="G92" s="57" t="e">
        <f>#REF!+(E92/F92)</f>
        <v>#REF!</v>
      </c>
      <c r="H92" s="102"/>
      <c r="I92" s="66">
        <f>VLOOKUP(A92,'[1]תכנית ייצור'!$B:$H,7,0)</f>
        <v>46317</v>
      </c>
      <c r="J92" s="66">
        <f t="shared" si="3"/>
        <v>46323</v>
      </c>
      <c r="K92" s="66">
        <f t="shared" si="4"/>
        <v>46339</v>
      </c>
      <c r="L92" s="67"/>
      <c r="M92" s="68">
        <v>0</v>
      </c>
      <c r="N92" s="74"/>
      <c r="O92" s="61">
        <f t="shared" si="2"/>
        <v>46342</v>
      </c>
      <c r="P92" s="25">
        <f>VLOOKUP(A92,'הזמנות פתוחות'!A:D,4,0)</f>
        <v>46325</v>
      </c>
      <c r="Q92" s="62"/>
      <c r="R92" s="63">
        <v>0</v>
      </c>
    </row>
    <row r="93" spans="1:37" ht="18.600000000000001" customHeight="1" x14ac:dyDescent="0.3">
      <c r="A93" s="36" t="s">
        <v>96</v>
      </c>
      <c r="B93" s="37"/>
      <c r="C93" s="37">
        <f>VLOOKUP(A93,קוביות!A:X,24,0)</f>
        <v>3014</v>
      </c>
      <c r="D93" s="37">
        <v>3014</v>
      </c>
      <c r="E93" s="39">
        <v>23</v>
      </c>
      <c r="F93" s="39">
        <v>1</v>
      </c>
      <c r="G93" s="37" t="e">
        <f>#REF!+(E93/F93)</f>
        <v>#REF!</v>
      </c>
      <c r="H93" s="39" t="s">
        <v>392</v>
      </c>
      <c r="I93" s="40">
        <v>46215</v>
      </c>
      <c r="J93" s="40">
        <v>46258</v>
      </c>
      <c r="K93" s="66">
        <f>J93+19</f>
        <v>46277</v>
      </c>
      <c r="L93" s="67"/>
      <c r="M93" s="68" t="s">
        <v>400</v>
      </c>
      <c r="N93" s="74" t="s">
        <v>380</v>
      </c>
      <c r="O93" s="61">
        <f>K93+5</f>
        <v>46282</v>
      </c>
      <c r="P93" s="25">
        <f>VLOOKUP(A93,'הזמנות פתוחות'!A:D,4,0)</f>
        <v>46258</v>
      </c>
      <c r="Q93" s="62"/>
      <c r="R93" s="63" t="s">
        <v>830</v>
      </c>
    </row>
    <row r="94" spans="1:37" ht="19.2" customHeight="1" x14ac:dyDescent="0.3">
      <c r="A94" s="64" t="s">
        <v>99</v>
      </c>
      <c r="B94" s="65" t="s">
        <v>100</v>
      </c>
      <c r="C94" s="54">
        <f>VLOOKUP(A94,קוביות!A:X,24,0)</f>
        <v>3014</v>
      </c>
      <c r="D94" s="54">
        <v>3014</v>
      </c>
      <c r="E94" s="80">
        <v>20</v>
      </c>
      <c r="F94" s="80">
        <v>1</v>
      </c>
      <c r="G94" s="57" t="e">
        <f>#REF!+(E94/F94)</f>
        <v>#REF!</v>
      </c>
      <c r="H94" s="104" t="s">
        <v>393</v>
      </c>
      <c r="I94" s="66">
        <v>46285</v>
      </c>
      <c r="J94" s="66">
        <f>I94+10</f>
        <v>46295</v>
      </c>
      <c r="K94" s="66">
        <f t="shared" si="4"/>
        <v>46311</v>
      </c>
      <c r="L94" s="67" t="s">
        <v>378</v>
      </c>
      <c r="M94" s="68">
        <v>0</v>
      </c>
      <c r="N94" s="105" t="s">
        <v>380</v>
      </c>
      <c r="O94" s="61">
        <f t="shared" si="2"/>
        <v>46314</v>
      </c>
      <c r="P94" s="25">
        <f>VLOOKUP(A94,'הזמנות פתוחות'!A:D,4,0)</f>
        <v>46307</v>
      </c>
      <c r="Q94" s="62"/>
      <c r="R94" s="63">
        <v>0</v>
      </c>
    </row>
    <row r="95" spans="1:37" ht="21" customHeight="1" x14ac:dyDescent="0.3">
      <c r="A95" s="64" t="s">
        <v>107</v>
      </c>
      <c r="B95" s="99"/>
      <c r="C95" s="54">
        <f>VLOOKUP(A95,קוביות!A:X,24,0)</f>
        <v>3014</v>
      </c>
      <c r="D95" s="54">
        <v>3014</v>
      </c>
      <c r="E95" s="80">
        <v>12</v>
      </c>
      <c r="F95" s="80">
        <v>1</v>
      </c>
      <c r="G95" s="57" t="e">
        <f>#REF!+(E95/F95)</f>
        <v>#REF!</v>
      </c>
      <c r="H95" s="101"/>
      <c r="I95" s="66">
        <v>46305</v>
      </c>
      <c r="J95" s="66">
        <f>I95+4</f>
        <v>46309</v>
      </c>
      <c r="K95" s="66">
        <f>J95+14</f>
        <v>46323</v>
      </c>
      <c r="L95" s="67"/>
      <c r="M95" s="68">
        <v>0</v>
      </c>
      <c r="N95" s="74"/>
      <c r="O95" s="61">
        <f t="shared" si="2"/>
        <v>46326</v>
      </c>
      <c r="P95" s="25">
        <f>VLOOKUP(A95,'הזמנות פתוחות'!A:D,4,0)</f>
        <v>46313</v>
      </c>
      <c r="Q95" s="62"/>
      <c r="R95" s="63">
        <v>0</v>
      </c>
    </row>
    <row r="96" spans="1:37" x14ac:dyDescent="0.3">
      <c r="A96" s="64" t="s">
        <v>101</v>
      </c>
      <c r="B96" s="65" t="s">
        <v>102</v>
      </c>
      <c r="C96" s="54">
        <f>VLOOKUP(A96,קוביות!A:X,24,0)</f>
        <v>3014</v>
      </c>
      <c r="D96" s="54">
        <v>3014</v>
      </c>
      <c r="E96" s="80">
        <v>12</v>
      </c>
      <c r="F96" s="80">
        <v>1</v>
      </c>
      <c r="G96" s="57" t="e">
        <f>#REF!+(E96/F96)</f>
        <v>#REF!</v>
      </c>
      <c r="H96" s="54"/>
      <c r="I96" s="66">
        <f>VLOOKUP(A96,'[1]תכנית ייצור'!$B:$H,7,0)</f>
        <v>46317</v>
      </c>
      <c r="J96" s="66">
        <f t="shared" ref="J96:J107" si="5">I96+6</f>
        <v>46323</v>
      </c>
      <c r="K96" s="66">
        <f t="shared" si="4"/>
        <v>46339</v>
      </c>
      <c r="L96" s="67"/>
      <c r="M96" s="68">
        <v>0</v>
      </c>
      <c r="N96" s="97"/>
      <c r="O96" s="61">
        <f t="shared" si="2"/>
        <v>46342</v>
      </c>
      <c r="P96" s="25">
        <f>VLOOKUP(A96,'הזמנות פתוחות'!A:D,4,0)</f>
        <v>46271</v>
      </c>
      <c r="Q96" s="62"/>
      <c r="R96" s="63">
        <v>0</v>
      </c>
    </row>
    <row r="97" spans="1:18" x14ac:dyDescent="0.3">
      <c r="A97" s="64" t="s">
        <v>119</v>
      </c>
      <c r="B97" s="99" t="s">
        <v>120</v>
      </c>
      <c r="C97" s="54">
        <f>VLOOKUP(A97,קוביות!A:X,24,0)</f>
        <v>3015</v>
      </c>
      <c r="D97" s="54">
        <v>3015</v>
      </c>
      <c r="E97" s="96">
        <v>12</v>
      </c>
      <c r="F97" s="57"/>
      <c r="G97" s="57"/>
      <c r="H97" s="92"/>
      <c r="I97" s="66">
        <f>VLOOKUP(A97,'[1]תכנית ייצור'!$D:$H,5,0)</f>
        <v>46283</v>
      </c>
      <c r="J97" s="66">
        <f t="shared" si="5"/>
        <v>46289</v>
      </c>
      <c r="K97" s="66">
        <f t="shared" si="4"/>
        <v>46305</v>
      </c>
      <c r="L97" s="67"/>
      <c r="M97" s="68">
        <v>0</v>
      </c>
      <c r="N97" s="74"/>
      <c r="O97" s="61">
        <f t="shared" si="2"/>
        <v>46308</v>
      </c>
      <c r="P97" s="25">
        <f>VLOOKUP(A97,'הזמנות פתוחות'!A:D,4,0)</f>
        <v>46307</v>
      </c>
      <c r="Q97" s="62"/>
      <c r="R97" s="63">
        <v>0</v>
      </c>
    </row>
    <row r="98" spans="1:18" x14ac:dyDescent="0.3">
      <c r="A98" s="64" t="s">
        <v>111</v>
      </c>
      <c r="B98" s="65" t="s">
        <v>112</v>
      </c>
      <c r="C98" s="54">
        <f>VLOOKUP(A98,קוביות!A:X,24,0)</f>
        <v>3015</v>
      </c>
      <c r="D98" s="54">
        <v>3015</v>
      </c>
      <c r="E98" s="55">
        <v>12</v>
      </c>
      <c r="F98" s="57">
        <v>1</v>
      </c>
      <c r="G98" s="57" t="e">
        <f>#REF!+(E98/F98)</f>
        <v>#REF!</v>
      </c>
      <c r="H98" s="54"/>
      <c r="I98" s="66">
        <v>46340</v>
      </c>
      <c r="J98" s="66">
        <f t="shared" si="5"/>
        <v>46346</v>
      </c>
      <c r="K98" s="66">
        <f t="shared" si="4"/>
        <v>46362</v>
      </c>
      <c r="L98" s="67"/>
      <c r="M98" s="68">
        <v>0</v>
      </c>
      <c r="N98" s="74" t="s">
        <v>380</v>
      </c>
      <c r="O98" s="61">
        <f t="shared" si="2"/>
        <v>46365</v>
      </c>
      <c r="P98" s="25">
        <f>VLOOKUP(A98,'הזמנות פתוחות'!A:D,4,0)</f>
        <v>46361</v>
      </c>
      <c r="Q98" s="62"/>
      <c r="R98" s="63" t="e">
        <v>#N/A</v>
      </c>
    </row>
    <row r="99" spans="1:18" x14ac:dyDescent="0.3">
      <c r="A99" s="64" t="s">
        <v>108</v>
      </c>
      <c r="B99" s="99"/>
      <c r="C99" s="54">
        <f>VLOOKUP(A99,קוביות!A:X,24,0)</f>
        <v>3015</v>
      </c>
      <c r="D99" s="54">
        <v>3015</v>
      </c>
      <c r="E99" s="80">
        <v>12</v>
      </c>
      <c r="F99" s="80">
        <v>1</v>
      </c>
      <c r="G99" s="57" t="e">
        <f>#REF!+(E99/F99)</f>
        <v>#REF!</v>
      </c>
      <c r="H99" s="101"/>
      <c r="I99" s="66">
        <f>VLOOKUP(A99,'[1]תכנית ייצור'!$B:$H,7,0)</f>
        <v>46259</v>
      </c>
      <c r="J99" s="66">
        <f t="shared" si="5"/>
        <v>46265</v>
      </c>
      <c r="K99" s="66">
        <f t="shared" si="4"/>
        <v>46281</v>
      </c>
      <c r="L99" s="67"/>
      <c r="M99" s="68">
        <v>0</v>
      </c>
      <c r="N99" s="74"/>
      <c r="O99" s="61">
        <f t="shared" si="2"/>
        <v>46284</v>
      </c>
      <c r="P99" s="25">
        <f>VLOOKUP(A99,'הזמנות פתוחות'!A:D,4,0)</f>
        <v>46300</v>
      </c>
      <c r="Q99" s="62"/>
      <c r="R99" s="63" t="e">
        <v>#N/A</v>
      </c>
    </row>
    <row r="100" spans="1:18" ht="18" customHeight="1" x14ac:dyDescent="0.3">
      <c r="A100" s="64" t="s">
        <v>109</v>
      </c>
      <c r="B100" s="65" t="s">
        <v>110</v>
      </c>
      <c r="C100" s="54">
        <f>VLOOKUP(A100,קוביות!A:X,24,0)</f>
        <v>3015</v>
      </c>
      <c r="D100" s="54">
        <v>3015</v>
      </c>
      <c r="E100" s="55">
        <v>12</v>
      </c>
      <c r="F100" s="85">
        <v>1</v>
      </c>
      <c r="G100" s="57" t="e">
        <f>#REF!+(E100/F100)</f>
        <v>#REF!</v>
      </c>
      <c r="H100" s="85"/>
      <c r="I100" s="66">
        <f>VLOOKUP(A100,'[1]תכנית ייצור'!$B:$H,7,0)</f>
        <v>46266</v>
      </c>
      <c r="J100" s="66">
        <f t="shared" si="5"/>
        <v>46272</v>
      </c>
      <c r="K100" s="66">
        <f t="shared" si="4"/>
        <v>46288</v>
      </c>
      <c r="L100" s="67"/>
      <c r="M100" s="68">
        <v>0</v>
      </c>
      <c r="N100" s="86"/>
      <c r="O100" s="61">
        <f t="shared" si="2"/>
        <v>46291</v>
      </c>
      <c r="P100" s="25">
        <f>VLOOKUP(A100,'הזמנות פתוחות'!A:D,4,0)</f>
        <v>46296</v>
      </c>
      <c r="Q100" s="62"/>
      <c r="R100" s="63" t="e">
        <v>#N/A</v>
      </c>
    </row>
    <row r="101" spans="1:18" x14ac:dyDescent="0.3">
      <c r="A101" s="106" t="s">
        <v>113</v>
      </c>
      <c r="B101" s="107" t="s">
        <v>114</v>
      </c>
      <c r="C101" s="54">
        <f>VLOOKUP(A101,קוביות!A:X,24,0)</f>
        <v>3015</v>
      </c>
      <c r="D101" s="54">
        <v>3015</v>
      </c>
      <c r="E101" s="80">
        <v>12</v>
      </c>
      <c r="F101" s="80">
        <v>1</v>
      </c>
      <c r="G101" s="57" t="e">
        <f>#REF!+(E101/F101)</f>
        <v>#REF!</v>
      </c>
      <c r="H101" s="92"/>
      <c r="I101" s="66">
        <v>46283</v>
      </c>
      <c r="J101" s="66">
        <f t="shared" si="5"/>
        <v>46289</v>
      </c>
      <c r="K101" s="66">
        <f t="shared" si="4"/>
        <v>46305</v>
      </c>
      <c r="L101" s="67"/>
      <c r="M101" s="68">
        <v>0</v>
      </c>
      <c r="N101" s="108"/>
      <c r="O101" s="61">
        <f t="shared" si="2"/>
        <v>46308</v>
      </c>
      <c r="P101" s="25">
        <v>46289</v>
      </c>
      <c r="Q101" s="62"/>
      <c r="R101" s="63">
        <v>0</v>
      </c>
    </row>
    <row r="102" spans="1:18" x14ac:dyDescent="0.3">
      <c r="A102" s="64" t="s">
        <v>115</v>
      </c>
      <c r="B102" s="109"/>
      <c r="C102" s="54">
        <f>VLOOKUP(A102,קוביות!A:X,24,0)</f>
        <v>3015</v>
      </c>
      <c r="D102" s="54">
        <v>3015</v>
      </c>
      <c r="E102" s="80">
        <v>24</v>
      </c>
      <c r="F102" s="80">
        <v>2</v>
      </c>
      <c r="G102" s="57" t="e">
        <f>#REF!+(E102/F102)</f>
        <v>#REF!</v>
      </c>
      <c r="I102" s="40">
        <v>46250</v>
      </c>
      <c r="J102" s="66">
        <f>I102+7</f>
        <v>46257</v>
      </c>
      <c r="K102" s="66" t="s">
        <v>378</v>
      </c>
      <c r="L102" s="67"/>
      <c r="M102" s="68">
        <v>0</v>
      </c>
      <c r="N102" s="74"/>
      <c r="O102" s="61">
        <v>46264</v>
      </c>
      <c r="P102" s="25">
        <f>VLOOKUP(A102,'הזמנות פתוחות'!A:D,4,0)</f>
        <v>46247</v>
      </c>
      <c r="Q102" s="62"/>
      <c r="R102" s="63" t="s">
        <v>819</v>
      </c>
    </row>
    <row r="103" spans="1:18" x14ac:dyDescent="0.3">
      <c r="A103" s="64" t="s">
        <v>117</v>
      </c>
      <c r="B103" s="99"/>
      <c r="C103" s="54">
        <f>VLOOKUP(A103,קוביות!A:X,24,0)</f>
        <v>3015</v>
      </c>
      <c r="D103" s="54">
        <v>3015</v>
      </c>
      <c r="E103" s="80">
        <v>24</v>
      </c>
      <c r="F103" s="80">
        <v>2</v>
      </c>
      <c r="G103" s="57" t="e">
        <f>#REF!+(E103/F103)</f>
        <v>#REF!</v>
      </c>
      <c r="H103" s="101"/>
      <c r="I103" s="40">
        <v>46250</v>
      </c>
      <c r="J103" s="66">
        <f>I103+7</f>
        <v>46257</v>
      </c>
      <c r="K103" s="66" t="s">
        <v>378</v>
      </c>
      <c r="L103" s="67"/>
      <c r="M103" s="68">
        <v>0</v>
      </c>
      <c r="N103" s="74"/>
      <c r="O103" s="61">
        <v>46264</v>
      </c>
      <c r="P103" s="25">
        <f>VLOOKUP(A103,'הזמנות פתוחות'!A:D,4,0)</f>
        <v>46247</v>
      </c>
      <c r="Q103" s="62"/>
      <c r="R103" s="63" t="s">
        <v>819</v>
      </c>
    </row>
    <row r="104" spans="1:18" x14ac:dyDescent="0.3">
      <c r="A104" s="64" t="s">
        <v>121</v>
      </c>
      <c r="B104" s="65" t="s">
        <v>122</v>
      </c>
      <c r="C104" s="54">
        <f>VLOOKUP(A104,קוביות!A:X,24,0)</f>
        <v>3015</v>
      </c>
      <c r="D104" s="54">
        <v>3015</v>
      </c>
      <c r="E104" s="80">
        <v>12</v>
      </c>
      <c r="F104" s="57"/>
      <c r="G104" s="57" t="e">
        <f>#REF!+(E104/F104)</f>
        <v>#REF!</v>
      </c>
      <c r="H104" s="85"/>
      <c r="I104" s="66">
        <f>VLOOKUP(A104,'[1]תכנית ייצור'!$D:$H,5,0)</f>
        <v>46260</v>
      </c>
      <c r="J104" s="66">
        <f t="shared" si="5"/>
        <v>46266</v>
      </c>
      <c r="K104" s="66">
        <f t="shared" si="4"/>
        <v>46282</v>
      </c>
      <c r="L104" s="67"/>
      <c r="M104" s="68">
        <v>0</v>
      </c>
      <c r="N104" s="84"/>
      <c r="O104" s="61">
        <f t="shared" si="2"/>
        <v>46285</v>
      </c>
      <c r="P104" s="25">
        <f>VLOOKUP(A104,'הזמנות פתוחות'!A:D,4,0)</f>
        <v>46280</v>
      </c>
      <c r="Q104" s="62"/>
      <c r="R104" s="63">
        <v>0</v>
      </c>
    </row>
    <row r="105" spans="1:18" x14ac:dyDescent="0.3">
      <c r="A105" s="64" t="s">
        <v>133</v>
      </c>
      <c r="B105" s="65" t="s">
        <v>134</v>
      </c>
      <c r="C105" s="54">
        <f>VLOOKUP(A105,קוביות!A:X,24,0)</f>
        <v>3016</v>
      </c>
      <c r="D105" s="54">
        <v>3016</v>
      </c>
      <c r="E105" s="55">
        <v>12</v>
      </c>
      <c r="F105" s="57">
        <v>1</v>
      </c>
      <c r="G105" s="57" t="e">
        <f>#REF!+(E105/F105)</f>
        <v>#REF!</v>
      </c>
      <c r="H105" s="110"/>
      <c r="I105" s="66">
        <v>46335</v>
      </c>
      <c r="J105" s="66">
        <f t="shared" si="5"/>
        <v>46341</v>
      </c>
      <c r="K105" s="66">
        <f t="shared" si="4"/>
        <v>46357</v>
      </c>
      <c r="L105" s="67" t="s">
        <v>378</v>
      </c>
      <c r="M105" s="68">
        <v>0</v>
      </c>
      <c r="N105" s="84" t="s">
        <v>378</v>
      </c>
      <c r="O105" s="61">
        <f t="shared" si="2"/>
        <v>46360</v>
      </c>
      <c r="P105" s="25">
        <v>46356</v>
      </c>
      <c r="Q105" s="62"/>
      <c r="R105" s="63"/>
    </row>
    <row r="106" spans="1:18" x14ac:dyDescent="0.3">
      <c r="A106" s="64" t="s">
        <v>131</v>
      </c>
      <c r="B106" s="65" t="s">
        <v>132</v>
      </c>
      <c r="C106" s="54">
        <f>VLOOKUP(A106,קוביות!A:X,24,0)</f>
        <v>3016</v>
      </c>
      <c r="D106" s="54">
        <v>3016</v>
      </c>
      <c r="E106" s="55">
        <v>12</v>
      </c>
      <c r="F106" s="57">
        <v>1</v>
      </c>
      <c r="G106" s="57" t="e">
        <f>#REF!+(E106/F106)</f>
        <v>#REF!</v>
      </c>
      <c r="H106" s="54"/>
      <c r="I106" s="66">
        <v>46331</v>
      </c>
      <c r="J106" s="66">
        <f t="shared" si="5"/>
        <v>46337</v>
      </c>
      <c r="K106" s="66">
        <f t="shared" si="4"/>
        <v>46353</v>
      </c>
      <c r="L106" s="67" t="s">
        <v>378</v>
      </c>
      <c r="M106" s="68">
        <v>0</v>
      </c>
      <c r="N106" s="84" t="s">
        <v>378</v>
      </c>
      <c r="O106" s="61">
        <f t="shared" si="2"/>
        <v>46356</v>
      </c>
      <c r="P106" s="25">
        <v>46351</v>
      </c>
      <c r="Q106" s="62"/>
      <c r="R106" s="63"/>
    </row>
    <row r="107" spans="1:18" x14ac:dyDescent="0.3">
      <c r="A107" s="64" t="s">
        <v>135</v>
      </c>
      <c r="B107" s="65" t="s">
        <v>136</v>
      </c>
      <c r="C107" s="54">
        <f>VLOOKUP(A107,קוביות!A:X,24,0)</f>
        <v>3016</v>
      </c>
      <c r="D107" s="54">
        <v>3016</v>
      </c>
      <c r="E107" s="80">
        <v>17</v>
      </c>
      <c r="F107" s="95"/>
      <c r="G107" s="57" t="e">
        <f>#REF!+(E107/F107)</f>
        <v>#REF!</v>
      </c>
      <c r="H107" s="95"/>
      <c r="I107" s="66">
        <f>VLOOKUP(A107,'[1]תכנית ייצור'!$B:$H,7,0)</f>
        <v>46299</v>
      </c>
      <c r="J107" s="66">
        <f t="shared" si="5"/>
        <v>46305</v>
      </c>
      <c r="K107" s="66">
        <f t="shared" si="4"/>
        <v>46321</v>
      </c>
      <c r="L107" s="67"/>
      <c r="M107" s="68">
        <v>0</v>
      </c>
      <c r="N107" s="74"/>
      <c r="O107" s="61">
        <f t="shared" si="2"/>
        <v>46324</v>
      </c>
      <c r="P107" s="25">
        <v>46315</v>
      </c>
      <c r="Q107" s="62"/>
      <c r="R107" s="63"/>
    </row>
    <row r="108" spans="1:18" ht="28.8" x14ac:dyDescent="0.3">
      <c r="A108" s="64" t="s">
        <v>92</v>
      </c>
      <c r="B108" s="65"/>
      <c r="C108" s="54">
        <f>VLOOKUP(A108,קוביות!A:X,24,0)</f>
        <v>3013</v>
      </c>
      <c r="D108" s="54">
        <v>3016</v>
      </c>
      <c r="E108" s="80">
        <v>2</v>
      </c>
      <c r="F108" s="80">
        <v>1</v>
      </c>
      <c r="G108" s="57" t="e">
        <f>#REF!+(E108/F108)</f>
        <v>#REF!</v>
      </c>
      <c r="H108" s="54"/>
      <c r="I108" s="40" t="s">
        <v>382</v>
      </c>
      <c r="J108" s="171">
        <v>46253</v>
      </c>
      <c r="K108" s="66">
        <f t="shared" si="4"/>
        <v>46269</v>
      </c>
      <c r="L108" s="67">
        <v>46277</v>
      </c>
      <c r="M108" s="68">
        <v>0</v>
      </c>
      <c r="N108" s="74" t="s">
        <v>380</v>
      </c>
      <c r="O108" s="61">
        <f t="shared" si="2"/>
        <v>46272</v>
      </c>
      <c r="P108" s="25">
        <f>VLOOKUP(A108,'הזמנות פתוחות'!A:D,4,0)</f>
        <v>46307</v>
      </c>
      <c r="Q108" s="62"/>
      <c r="R108" s="63" t="s">
        <v>397</v>
      </c>
    </row>
    <row r="109" spans="1:18" ht="28.8" x14ac:dyDescent="0.3">
      <c r="A109" s="64" t="s">
        <v>126</v>
      </c>
      <c r="B109" s="65" t="s">
        <v>127</v>
      </c>
      <c r="C109" s="54">
        <f>VLOOKUP(A109,קוביות!A:X,24,0)</f>
        <v>3016</v>
      </c>
      <c r="D109" s="54">
        <v>3016</v>
      </c>
      <c r="E109" s="55">
        <v>12</v>
      </c>
      <c r="F109" s="57">
        <v>4</v>
      </c>
      <c r="G109" s="57" t="e">
        <f>#REF!+(E109/F109)</f>
        <v>#REF!</v>
      </c>
      <c r="H109" s="54"/>
      <c r="I109" s="40" t="s">
        <v>382</v>
      </c>
      <c r="J109" s="81" t="s">
        <v>398</v>
      </c>
      <c r="K109" s="66" t="s">
        <v>398</v>
      </c>
      <c r="L109" s="67" t="s">
        <v>378</v>
      </c>
      <c r="M109" s="68" t="s">
        <v>399</v>
      </c>
      <c r="N109" s="72"/>
      <c r="O109" s="61" t="s">
        <v>521</v>
      </c>
      <c r="P109" s="25">
        <v>46289</v>
      </c>
      <c r="Q109" s="62"/>
      <c r="R109" s="63" t="s">
        <v>399</v>
      </c>
    </row>
    <row r="110" spans="1:18" x14ac:dyDescent="0.3">
      <c r="A110" s="64" t="s">
        <v>130</v>
      </c>
      <c r="B110" s="99"/>
      <c r="C110" s="54">
        <f>VLOOKUP(A110,קוביות!A:X,24,0)</f>
        <v>3016</v>
      </c>
      <c r="D110" s="54">
        <v>3016</v>
      </c>
      <c r="E110" s="80">
        <v>12</v>
      </c>
      <c r="F110" s="80">
        <v>1</v>
      </c>
      <c r="G110" s="57" t="e">
        <f>#REF!+(E110/F110)</f>
        <v>#REF!</v>
      </c>
      <c r="H110" s="101"/>
      <c r="I110" s="66">
        <v>46334</v>
      </c>
      <c r="J110" s="66">
        <f t="shared" ref="J110:J148" si="6">I110+6</f>
        <v>46340</v>
      </c>
      <c r="K110" s="66">
        <f t="shared" si="4"/>
        <v>46356</v>
      </c>
      <c r="L110" s="67"/>
      <c r="M110" s="68">
        <v>0</v>
      </c>
      <c r="N110" s="74" t="s">
        <v>380</v>
      </c>
      <c r="O110" s="61">
        <f t="shared" si="2"/>
        <v>46359</v>
      </c>
      <c r="P110" s="25">
        <v>46363</v>
      </c>
      <c r="Q110" s="62"/>
      <c r="R110" s="63">
        <v>0</v>
      </c>
    </row>
    <row r="111" spans="1:18" x14ac:dyDescent="0.3">
      <c r="A111" s="64" t="s">
        <v>123</v>
      </c>
      <c r="B111" s="65" t="s">
        <v>124</v>
      </c>
      <c r="C111" s="54">
        <f>VLOOKUP(A111,קוביות!A:X,24,0)</f>
        <v>3016</v>
      </c>
      <c r="D111" s="54">
        <v>3016</v>
      </c>
      <c r="E111" s="80">
        <v>26</v>
      </c>
      <c r="F111" s="57">
        <v>1</v>
      </c>
      <c r="G111" s="80" t="e">
        <f>#REF!+(E111/F111)</f>
        <v>#REF!</v>
      </c>
      <c r="H111" s="95"/>
      <c r="I111" s="66">
        <f>VLOOKUP(A111,'[1]תכנית ייצור'!$D:$H,5,0)</f>
        <v>46341</v>
      </c>
      <c r="J111" s="66">
        <f t="shared" si="6"/>
        <v>46347</v>
      </c>
      <c r="K111" s="66">
        <f t="shared" si="4"/>
        <v>46363</v>
      </c>
      <c r="L111" s="67"/>
      <c r="M111" s="68">
        <v>0</v>
      </c>
      <c r="N111" s="111"/>
      <c r="O111" s="61">
        <f t="shared" si="2"/>
        <v>46366</v>
      </c>
      <c r="P111" s="25">
        <v>46295</v>
      </c>
      <c r="Q111" s="62"/>
      <c r="R111" s="63">
        <v>0</v>
      </c>
    </row>
    <row r="112" spans="1:18" x14ac:dyDescent="0.3">
      <c r="A112" s="64" t="s">
        <v>137</v>
      </c>
      <c r="B112" s="65" t="s">
        <v>136</v>
      </c>
      <c r="C112" s="54">
        <f>VLOOKUP(A112,קוביות!A:X,24,0)</f>
        <v>3021</v>
      </c>
      <c r="D112" s="54">
        <v>3016</v>
      </c>
      <c r="E112" s="80">
        <v>12</v>
      </c>
      <c r="F112" s="80">
        <v>1</v>
      </c>
      <c r="G112" s="57" t="e">
        <f>#REF!+(E112/F112)</f>
        <v>#REF!</v>
      </c>
      <c r="H112" s="85"/>
      <c r="I112" s="66">
        <f>VLOOKUP(A112,'[1]תכנית ייצור'!$B:$H,7,0)</f>
        <v>46304</v>
      </c>
      <c r="J112" s="66">
        <f t="shared" si="6"/>
        <v>46310</v>
      </c>
      <c r="K112" s="66">
        <f t="shared" si="4"/>
        <v>46326</v>
      </c>
      <c r="L112" s="67"/>
      <c r="M112" s="68">
        <v>0</v>
      </c>
      <c r="N112" s="86"/>
      <c r="O112" s="61">
        <f t="shared" si="2"/>
        <v>46329</v>
      </c>
      <c r="P112" s="25">
        <v>46307</v>
      </c>
      <c r="Q112" s="62"/>
      <c r="R112" s="63">
        <v>0</v>
      </c>
    </row>
    <row r="113" spans="1:18" x14ac:dyDescent="0.3">
      <c r="A113" s="64" t="s">
        <v>125</v>
      </c>
      <c r="B113" s="99"/>
      <c r="C113" s="54">
        <f>VLOOKUP(A113,קוביות!A:X,24,0)</f>
        <v>3016</v>
      </c>
      <c r="D113" s="54">
        <v>3016</v>
      </c>
      <c r="E113" s="80">
        <v>12</v>
      </c>
      <c r="F113" s="80">
        <v>1</v>
      </c>
      <c r="G113" s="57" t="e">
        <f>#REF!+(E113/F113)</f>
        <v>#REF!</v>
      </c>
      <c r="H113" s="101"/>
      <c r="I113" s="66">
        <f>VLOOKUP(A113,'[1]תכנית ייצור'!$B:$H,7,0)</f>
        <v>46322</v>
      </c>
      <c r="J113" s="66">
        <f t="shared" si="6"/>
        <v>46328</v>
      </c>
      <c r="K113" s="66">
        <f t="shared" si="4"/>
        <v>46344</v>
      </c>
      <c r="L113" s="67"/>
      <c r="M113" s="68">
        <v>0</v>
      </c>
      <c r="N113" s="74"/>
      <c r="O113" s="61">
        <f t="shared" si="2"/>
        <v>46347</v>
      </c>
      <c r="P113" s="25">
        <f>VLOOKUP(A113,'הזמנות פתוחות'!A:D,4,0)</f>
        <v>46339</v>
      </c>
      <c r="Q113" s="62"/>
      <c r="R113" s="63">
        <v>0</v>
      </c>
    </row>
    <row r="114" spans="1:18" x14ac:dyDescent="0.3">
      <c r="A114" s="64" t="s">
        <v>138</v>
      </c>
      <c r="B114" s="65" t="s">
        <v>139</v>
      </c>
      <c r="C114" s="54">
        <f>VLOOKUP(A114,קוביות!A:X,24,0)</f>
        <v>3016</v>
      </c>
      <c r="D114" s="54">
        <v>3016</v>
      </c>
      <c r="E114" s="80">
        <v>12</v>
      </c>
      <c r="F114" s="57">
        <v>1</v>
      </c>
      <c r="G114" s="57" t="e">
        <f>#REF!+(E114/F114)</f>
        <v>#REF!</v>
      </c>
      <c r="H114" s="85"/>
      <c r="I114" s="66">
        <f>VLOOKUP(A114,'[1]תכנית ייצור'!$D:$H,5,0)</f>
        <v>46348</v>
      </c>
      <c r="J114" s="66">
        <f t="shared" si="6"/>
        <v>46354</v>
      </c>
      <c r="K114" s="66">
        <f t="shared" si="4"/>
        <v>46370</v>
      </c>
      <c r="L114" s="67"/>
      <c r="M114" s="68">
        <v>0</v>
      </c>
      <c r="N114" s="74" t="s">
        <v>380</v>
      </c>
      <c r="O114" s="61">
        <f t="shared" si="2"/>
        <v>46373</v>
      </c>
      <c r="P114" s="25">
        <v>46354</v>
      </c>
      <c r="Q114" s="62"/>
      <c r="R114" s="63">
        <v>0</v>
      </c>
    </row>
    <row r="115" spans="1:18" x14ac:dyDescent="0.3">
      <c r="A115" s="64" t="s">
        <v>158</v>
      </c>
      <c r="B115" s="65" t="s">
        <v>159</v>
      </c>
      <c r="C115" s="54">
        <f>VLOOKUP(A115,קוביות!A:X,24,0)</f>
        <v>3017</v>
      </c>
      <c r="D115" s="54">
        <v>3017</v>
      </c>
      <c r="E115" s="55">
        <v>12</v>
      </c>
      <c r="F115" s="57">
        <v>1</v>
      </c>
      <c r="G115" s="57" t="e">
        <f>#REF!+(E115/F115)</f>
        <v>#REF!</v>
      </c>
      <c r="H115" s="54"/>
      <c r="I115" s="66">
        <v>46349</v>
      </c>
      <c r="J115" s="66">
        <f t="shared" si="6"/>
        <v>46355</v>
      </c>
      <c r="K115" s="66">
        <f t="shared" si="4"/>
        <v>46371</v>
      </c>
      <c r="L115" s="67"/>
      <c r="M115" s="68">
        <v>0</v>
      </c>
      <c r="N115" s="74" t="s">
        <v>380</v>
      </c>
      <c r="O115" s="61">
        <f t="shared" si="2"/>
        <v>46374</v>
      </c>
      <c r="P115" s="25">
        <f>VLOOKUP(A115,'הזמנות פתוחות'!A:D,4,0)</f>
        <v>46350</v>
      </c>
      <c r="Q115" s="62"/>
      <c r="R115" s="63" t="e">
        <v>#N/A</v>
      </c>
    </row>
    <row r="116" spans="1:18" ht="16.95" customHeight="1" x14ac:dyDescent="0.3">
      <c r="A116" s="64" t="s">
        <v>168</v>
      </c>
      <c r="B116" s="65" t="s">
        <v>169</v>
      </c>
      <c r="C116" s="54">
        <f>VLOOKUP(A116,קוביות!A:X,24,0)</f>
        <v>3017</v>
      </c>
      <c r="D116" s="54">
        <v>3017</v>
      </c>
      <c r="E116" s="55">
        <v>12</v>
      </c>
      <c r="F116" s="80">
        <v>1</v>
      </c>
      <c r="G116" s="57" t="e">
        <f>#REF!+(E116/F116)</f>
        <v>#REF!</v>
      </c>
      <c r="H116" s="112"/>
      <c r="I116" s="66">
        <f>VLOOKUP(A116,'[1]תכנית ייצור'!$B:$H,7,0)</f>
        <v>46311</v>
      </c>
      <c r="J116" s="66">
        <f t="shared" si="6"/>
        <v>46317</v>
      </c>
      <c r="K116" s="66">
        <f t="shared" si="4"/>
        <v>46333</v>
      </c>
      <c r="L116" s="67"/>
      <c r="M116" s="68">
        <v>0</v>
      </c>
      <c r="N116" s="72"/>
      <c r="O116" s="61">
        <f t="shared" si="2"/>
        <v>46336</v>
      </c>
      <c r="P116" s="25">
        <v>46354</v>
      </c>
      <c r="Q116" s="62"/>
      <c r="R116" s="63" t="e">
        <v>#N/A</v>
      </c>
    </row>
    <row r="117" spans="1:18" ht="22.2" customHeight="1" x14ac:dyDescent="0.3">
      <c r="A117" s="64" t="s">
        <v>164</v>
      </c>
      <c r="B117" s="65" t="s">
        <v>165</v>
      </c>
      <c r="C117" s="54">
        <f>VLOOKUP(A117,קוביות!A:X,24,0)</f>
        <v>3017</v>
      </c>
      <c r="D117" s="54">
        <v>3017</v>
      </c>
      <c r="E117" s="55">
        <v>12</v>
      </c>
      <c r="F117" s="80">
        <v>1</v>
      </c>
      <c r="G117" s="57" t="e">
        <f>#REF!+(E117/F117)</f>
        <v>#REF!</v>
      </c>
      <c r="H117" s="102"/>
      <c r="I117" s="66">
        <v>46366</v>
      </c>
      <c r="J117" s="66">
        <f t="shared" si="6"/>
        <v>46372</v>
      </c>
      <c r="K117" s="66">
        <f t="shared" si="4"/>
        <v>46388</v>
      </c>
      <c r="L117" s="67"/>
      <c r="M117" s="68">
        <v>0</v>
      </c>
      <c r="N117" s="97"/>
      <c r="O117" s="61">
        <f t="shared" si="2"/>
        <v>46391</v>
      </c>
      <c r="P117" s="25">
        <f>VLOOKUP(A117,'הזמנות פתוחות'!A:D,4,0)</f>
        <v>46348</v>
      </c>
      <c r="Q117" s="62"/>
      <c r="R117" s="63" t="e">
        <v>#N/A</v>
      </c>
    </row>
    <row r="118" spans="1:18" x14ac:dyDescent="0.3">
      <c r="A118" s="64" t="s">
        <v>162</v>
      </c>
      <c r="B118" s="65" t="s">
        <v>163</v>
      </c>
      <c r="C118" s="54">
        <f>VLOOKUP(A118,קוביות!A:X,24,0)</f>
        <v>3017</v>
      </c>
      <c r="D118" s="54">
        <v>3017</v>
      </c>
      <c r="E118" s="55">
        <v>12</v>
      </c>
      <c r="F118" s="57">
        <v>1</v>
      </c>
      <c r="G118" s="57" t="e">
        <f>#REF!+(E118/F118)</f>
        <v>#REF!</v>
      </c>
      <c r="H118" s="54"/>
      <c r="I118" s="66">
        <f>VLOOKUP(A118,'[1]תכנית ייצור'!$B:$H,7,0)</f>
        <v>46408</v>
      </c>
      <c r="J118" s="66">
        <f t="shared" si="6"/>
        <v>46414</v>
      </c>
      <c r="K118" s="66">
        <f t="shared" si="4"/>
        <v>46430</v>
      </c>
      <c r="L118" s="67" t="s">
        <v>378</v>
      </c>
      <c r="M118" s="68">
        <v>0</v>
      </c>
      <c r="N118" s="84" t="s">
        <v>378</v>
      </c>
      <c r="O118" s="61">
        <f t="shared" si="2"/>
        <v>46433</v>
      </c>
      <c r="P118" s="25">
        <f>VLOOKUP(A118,'הזמנות פתוחות'!A:D,4,0)</f>
        <v>46402</v>
      </c>
      <c r="Q118" s="62"/>
      <c r="R118" s="63">
        <v>0</v>
      </c>
    </row>
    <row r="119" spans="1:18" x14ac:dyDescent="0.3">
      <c r="A119" s="64" t="s">
        <v>144</v>
      </c>
      <c r="B119" s="65" t="s">
        <v>145</v>
      </c>
      <c r="C119" s="54">
        <f>VLOOKUP(A119,קוביות!A:X,24,0)</f>
        <v>3017</v>
      </c>
      <c r="D119" s="54">
        <v>3017</v>
      </c>
      <c r="E119" s="55">
        <v>12</v>
      </c>
      <c r="F119" s="57"/>
      <c r="G119" s="57"/>
      <c r="H119" s="54"/>
      <c r="I119" s="66">
        <f>VLOOKUP(A119,'[1]תכנית ייצור'!$B:$H,7,0)</f>
        <v>46310</v>
      </c>
      <c r="J119" s="66">
        <f t="shared" si="6"/>
        <v>46316</v>
      </c>
      <c r="K119" s="66">
        <f t="shared" si="4"/>
        <v>46332</v>
      </c>
      <c r="L119" s="67"/>
      <c r="M119" s="68">
        <v>0</v>
      </c>
      <c r="N119" s="74"/>
      <c r="O119" s="61">
        <f t="shared" si="2"/>
        <v>46335</v>
      </c>
      <c r="P119" s="25">
        <f>VLOOKUP(A119,'הזמנות פתוחות'!A:D,4,0)</f>
        <v>46315</v>
      </c>
      <c r="Q119" s="62"/>
      <c r="R119" s="63" t="e">
        <v>#N/A</v>
      </c>
    </row>
    <row r="120" spans="1:18" x14ac:dyDescent="0.3">
      <c r="A120" s="64" t="s">
        <v>150</v>
      </c>
      <c r="B120" s="99"/>
      <c r="C120" s="54">
        <f>VLOOKUP(A120,קוביות!A:X,24,0)</f>
        <v>3017</v>
      </c>
      <c r="D120" s="54">
        <v>3017</v>
      </c>
      <c r="E120" s="80">
        <v>12</v>
      </c>
      <c r="F120" s="80">
        <v>1</v>
      </c>
      <c r="G120" s="57" t="e">
        <f>#REF!+(E120/F120)</f>
        <v>#REF!</v>
      </c>
      <c r="H120" s="101"/>
      <c r="I120" s="66">
        <v>46341</v>
      </c>
      <c r="J120" s="66">
        <f t="shared" si="6"/>
        <v>46347</v>
      </c>
      <c r="K120" s="66">
        <f t="shared" si="4"/>
        <v>46363</v>
      </c>
      <c r="L120" s="67"/>
      <c r="M120" s="68">
        <v>0</v>
      </c>
      <c r="N120" s="74" t="s">
        <v>380</v>
      </c>
      <c r="O120" s="61">
        <f t="shared" si="2"/>
        <v>46366</v>
      </c>
      <c r="P120" s="25">
        <v>46368</v>
      </c>
      <c r="Q120" s="62"/>
      <c r="R120" s="63">
        <v>0</v>
      </c>
    </row>
    <row r="121" spans="1:18" x14ac:dyDescent="0.3">
      <c r="A121" s="64" t="s">
        <v>154</v>
      </c>
      <c r="B121" s="65"/>
      <c r="C121" s="54">
        <f>VLOOKUP(A121,קוביות!A:X,24,0)</f>
        <v>3017</v>
      </c>
      <c r="D121" s="54">
        <v>3017</v>
      </c>
      <c r="E121" s="80">
        <v>12</v>
      </c>
      <c r="F121" s="80">
        <v>1</v>
      </c>
      <c r="G121" s="57" t="e">
        <f>#REF!+(E121/F121)</f>
        <v>#REF!</v>
      </c>
      <c r="H121" s="54"/>
      <c r="I121" s="66">
        <v>46351</v>
      </c>
      <c r="J121" s="66">
        <f t="shared" si="6"/>
        <v>46357</v>
      </c>
      <c r="K121" s="66">
        <f t="shared" si="4"/>
        <v>46373</v>
      </c>
      <c r="L121" s="67"/>
      <c r="M121" s="68">
        <v>0</v>
      </c>
      <c r="N121" s="74" t="s">
        <v>380</v>
      </c>
      <c r="O121" s="61">
        <f t="shared" si="2"/>
        <v>46376</v>
      </c>
      <c r="P121" s="25">
        <v>46376</v>
      </c>
      <c r="Q121" s="62"/>
      <c r="R121" s="63">
        <v>0</v>
      </c>
    </row>
    <row r="122" spans="1:18" x14ac:dyDescent="0.3">
      <c r="A122" s="64" t="s">
        <v>155</v>
      </c>
      <c r="B122" s="99"/>
      <c r="C122" s="54">
        <f>VLOOKUP(A122,קוביות!A:X,24,0)</f>
        <v>3017</v>
      </c>
      <c r="D122" s="54">
        <v>3017</v>
      </c>
      <c r="E122" s="55">
        <v>12</v>
      </c>
      <c r="F122" s="99">
        <v>1</v>
      </c>
      <c r="G122" s="57" t="e">
        <f>#REF!+(E122/F122)</f>
        <v>#REF!</v>
      </c>
      <c r="H122" s="101"/>
      <c r="I122" s="66">
        <v>46329</v>
      </c>
      <c r="J122" s="66">
        <f t="shared" si="6"/>
        <v>46335</v>
      </c>
      <c r="K122" s="66">
        <f t="shared" si="4"/>
        <v>46351</v>
      </c>
      <c r="L122" s="67"/>
      <c r="M122" s="68">
        <v>0</v>
      </c>
      <c r="N122" s="74" t="s">
        <v>380</v>
      </c>
      <c r="O122" s="61">
        <f t="shared" si="2"/>
        <v>46354</v>
      </c>
      <c r="P122" s="25">
        <v>46356</v>
      </c>
      <c r="Q122" s="62"/>
      <c r="R122" s="63">
        <v>0</v>
      </c>
    </row>
    <row r="123" spans="1:18" ht="28.8" x14ac:dyDescent="0.3">
      <c r="A123" s="64" t="s">
        <v>170</v>
      </c>
      <c r="B123" s="65" t="s">
        <v>171</v>
      </c>
      <c r="C123" s="54">
        <f>VLOOKUP(A123,קוביות!A:X,24,0)</f>
        <v>3017</v>
      </c>
      <c r="D123" s="54">
        <v>3017</v>
      </c>
      <c r="E123" s="55">
        <v>12</v>
      </c>
      <c r="F123" s="57">
        <v>1</v>
      </c>
      <c r="G123" s="57" t="e">
        <f>#REF!+(E123/F123)</f>
        <v>#REF!</v>
      </c>
      <c r="H123" s="54"/>
      <c r="I123" s="40" t="s">
        <v>382</v>
      </c>
      <c r="J123" s="81" t="s">
        <v>398</v>
      </c>
      <c r="K123" s="66" t="s">
        <v>398</v>
      </c>
      <c r="L123" s="67" t="s">
        <v>378</v>
      </c>
      <c r="M123" s="68" t="s">
        <v>399</v>
      </c>
      <c r="N123" s="72"/>
      <c r="O123" s="61" t="s">
        <v>521</v>
      </c>
      <c r="P123" s="25">
        <v>46280</v>
      </c>
      <c r="Q123" s="62"/>
      <c r="R123" s="63" t="s">
        <v>399</v>
      </c>
    </row>
    <row r="124" spans="1:18" x14ac:dyDescent="0.3">
      <c r="A124" s="64" t="s">
        <v>166</v>
      </c>
      <c r="B124" s="65" t="s">
        <v>167</v>
      </c>
      <c r="C124" s="54">
        <f>VLOOKUP(A124,קוביות!A:X,24,0)</f>
        <v>3017</v>
      </c>
      <c r="D124" s="54">
        <v>3017</v>
      </c>
      <c r="E124" s="55">
        <v>12</v>
      </c>
      <c r="F124" s="80">
        <v>1</v>
      </c>
      <c r="G124" s="57" t="e">
        <f>#REF!+(E124/F124)</f>
        <v>#REF!</v>
      </c>
      <c r="H124" s="102"/>
      <c r="I124" s="41">
        <f>VLOOKUP(A124,'[1]תכנית ייצור'!$D:$H,5,0)</f>
        <v>46250</v>
      </c>
      <c r="J124" s="66">
        <f t="shared" si="6"/>
        <v>46256</v>
      </c>
      <c r="K124" s="66">
        <f t="shared" si="4"/>
        <v>46272</v>
      </c>
      <c r="L124" s="67"/>
      <c r="M124" s="68">
        <v>0</v>
      </c>
      <c r="N124" s="97"/>
      <c r="O124" s="61">
        <f t="shared" si="2"/>
        <v>46275</v>
      </c>
      <c r="P124" s="25">
        <f>VLOOKUP(A124,'הזמנות פתוחות'!A:D,4,0)</f>
        <v>46283</v>
      </c>
      <c r="Q124" s="62"/>
      <c r="R124" s="63" t="s">
        <v>817</v>
      </c>
    </row>
    <row r="125" spans="1:18" x14ac:dyDescent="0.3">
      <c r="A125" s="64" t="s">
        <v>160</v>
      </c>
      <c r="B125" s="65"/>
      <c r="C125" s="54">
        <f>VLOOKUP(A125,קוביות!A:X,24,0)</f>
        <v>3017</v>
      </c>
      <c r="D125" s="54">
        <v>3017</v>
      </c>
      <c r="E125" s="55">
        <v>12</v>
      </c>
      <c r="F125" s="57">
        <v>1</v>
      </c>
      <c r="G125" s="57" t="e">
        <f>#REF!+(E125/F125)</f>
        <v>#REF!</v>
      </c>
      <c r="H125" s="54"/>
      <c r="I125" s="66">
        <f>VLOOKUP(A125,'[1]תכנית ייצור'!$B:$H,7,0)</f>
        <v>46406</v>
      </c>
      <c r="J125" s="66">
        <f t="shared" si="6"/>
        <v>46412</v>
      </c>
      <c r="K125" s="66">
        <f t="shared" si="4"/>
        <v>46428</v>
      </c>
      <c r="L125" s="67"/>
      <c r="M125" s="68">
        <v>0</v>
      </c>
      <c r="N125" s="72"/>
      <c r="O125" s="61">
        <f t="shared" si="2"/>
        <v>46431</v>
      </c>
      <c r="P125" s="25">
        <v>46391</v>
      </c>
      <c r="Q125" s="62"/>
      <c r="R125" s="63">
        <v>0</v>
      </c>
    </row>
    <row r="126" spans="1:18" x14ac:dyDescent="0.3">
      <c r="A126" s="64" t="s">
        <v>152</v>
      </c>
      <c r="B126" s="65" t="s">
        <v>153</v>
      </c>
      <c r="C126" s="54">
        <f>VLOOKUP(A126,קוביות!A:X,24,0)</f>
        <v>3017</v>
      </c>
      <c r="D126" s="54">
        <v>3017</v>
      </c>
      <c r="E126" s="80">
        <v>12</v>
      </c>
      <c r="F126" s="80">
        <v>1</v>
      </c>
      <c r="G126" s="57" t="e">
        <f>#REF!+(E126/F126)</f>
        <v>#REF!</v>
      </c>
      <c r="H126" s="65"/>
      <c r="I126" s="66">
        <v>46290</v>
      </c>
      <c r="J126" s="66">
        <f t="shared" si="6"/>
        <v>46296</v>
      </c>
      <c r="K126" s="66">
        <f t="shared" si="4"/>
        <v>46312</v>
      </c>
      <c r="L126" s="67"/>
      <c r="M126" s="68">
        <v>0</v>
      </c>
      <c r="N126" s="114"/>
      <c r="O126" s="61">
        <f t="shared" si="2"/>
        <v>46315</v>
      </c>
      <c r="P126" s="25">
        <f>VLOOKUP(A126,'הזמנות פתוחות'!A:D,4,0)</f>
        <v>46293</v>
      </c>
      <c r="Q126" s="62"/>
      <c r="R126" s="63">
        <v>0</v>
      </c>
    </row>
    <row r="127" spans="1:18" x14ac:dyDescent="0.3">
      <c r="A127" s="115" t="s">
        <v>151</v>
      </c>
      <c r="B127" s="116"/>
      <c r="C127" s="54">
        <f>VLOOKUP(A127,קוביות!A:X,24,0)</f>
        <v>3017</v>
      </c>
      <c r="D127" s="54">
        <v>3017</v>
      </c>
      <c r="E127" s="80">
        <v>31</v>
      </c>
      <c r="F127" s="100">
        <v>1</v>
      </c>
      <c r="G127" s="93" t="e">
        <f>#REF!+(E127/F127)</f>
        <v>#REF!</v>
      </c>
      <c r="H127" s="77"/>
      <c r="I127" s="66">
        <v>46361</v>
      </c>
      <c r="J127" s="66">
        <f>I127+14</f>
        <v>46375</v>
      </c>
      <c r="K127" s="66">
        <f t="shared" si="4"/>
        <v>46391</v>
      </c>
      <c r="L127" s="67"/>
      <c r="M127" s="68">
        <v>0</v>
      </c>
      <c r="N127" s="117" t="s">
        <v>380</v>
      </c>
      <c r="O127" s="61">
        <f t="shared" si="2"/>
        <v>46394</v>
      </c>
      <c r="P127" s="25">
        <v>46381</v>
      </c>
      <c r="Q127" s="94"/>
      <c r="R127" s="63">
        <v>0</v>
      </c>
    </row>
    <row r="128" spans="1:18" x14ac:dyDescent="0.3">
      <c r="A128" s="64" t="s">
        <v>147</v>
      </c>
      <c r="B128" s="99"/>
      <c r="C128" s="54">
        <f>VLOOKUP(A128,קוביות!A:X,24,0)</f>
        <v>3017</v>
      </c>
      <c r="D128" s="54">
        <v>3017</v>
      </c>
      <c r="E128" s="80">
        <v>12</v>
      </c>
      <c r="F128" s="80">
        <v>1</v>
      </c>
      <c r="G128" s="57" t="e">
        <f>#REF!+(E128/F128)</f>
        <v>#REF!</v>
      </c>
      <c r="H128" s="118"/>
      <c r="I128" s="66">
        <v>46348</v>
      </c>
      <c r="J128" s="66">
        <f t="shared" si="6"/>
        <v>46354</v>
      </c>
      <c r="K128" s="66">
        <f t="shared" si="4"/>
        <v>46370</v>
      </c>
      <c r="L128" s="67"/>
      <c r="M128" s="68">
        <v>0</v>
      </c>
      <c r="N128" s="74" t="s">
        <v>380</v>
      </c>
      <c r="O128" s="61">
        <f t="shared" si="2"/>
        <v>46373</v>
      </c>
      <c r="P128" s="25">
        <v>46384</v>
      </c>
      <c r="Q128" s="62"/>
      <c r="R128" s="63">
        <v>0</v>
      </c>
    </row>
    <row r="129" spans="1:37" x14ac:dyDescent="0.3">
      <c r="A129" s="64" t="s">
        <v>146</v>
      </c>
      <c r="B129" s="65"/>
      <c r="C129" s="54">
        <f>VLOOKUP(A129,קוביות!A:X,24,0)</f>
        <v>3017</v>
      </c>
      <c r="D129" s="54">
        <v>3017</v>
      </c>
      <c r="E129" s="80">
        <v>12</v>
      </c>
      <c r="F129" s="80">
        <v>1</v>
      </c>
      <c r="G129" s="57" t="e">
        <f>#REF!+(E129/F129)</f>
        <v>#REF!</v>
      </c>
      <c r="H129" s="54"/>
      <c r="I129" s="66">
        <f>VLOOKUP(A129,'[1]תכנית ייצור'!$B:$H,7,0)</f>
        <v>46272</v>
      </c>
      <c r="J129" s="66">
        <f>I129+6</f>
        <v>46278</v>
      </c>
      <c r="K129" s="66">
        <f>J129+16</f>
        <v>46294</v>
      </c>
      <c r="L129" s="67"/>
      <c r="M129" s="68">
        <v>0</v>
      </c>
      <c r="N129" s="72"/>
      <c r="O129" s="61">
        <f>K129+3</f>
        <v>46297</v>
      </c>
      <c r="P129" s="25">
        <f>VLOOKUP(A129,'הזמנות פתוחות'!A:D,4,0)</f>
        <v>46273</v>
      </c>
      <c r="Q129" s="62"/>
      <c r="R129" s="63">
        <v>0</v>
      </c>
    </row>
    <row r="130" spans="1:37" x14ac:dyDescent="0.3">
      <c r="A130" s="52" t="s">
        <v>187</v>
      </c>
      <c r="B130" s="53" t="s">
        <v>188</v>
      </c>
      <c r="C130" s="54">
        <f>VLOOKUP(A130,קוביות!A:X,24,0)</f>
        <v>3018</v>
      </c>
      <c r="D130" s="54">
        <v>3018</v>
      </c>
      <c r="E130" s="55">
        <v>12</v>
      </c>
      <c r="F130" s="56">
        <v>1</v>
      </c>
      <c r="G130" s="57" t="e">
        <f>#REF!+(E130/F130)</f>
        <v>#REF!</v>
      </c>
      <c r="H130" s="120"/>
      <c r="I130" s="66">
        <f>VLOOKUP(A130,'[1]תכנית ייצור'!$D:$H,5,0)</f>
        <v>46251</v>
      </c>
      <c r="J130" s="66">
        <f>I130+9</f>
        <v>46260</v>
      </c>
      <c r="K130" s="66">
        <f t="shared" si="4"/>
        <v>46276</v>
      </c>
      <c r="L130" s="67"/>
      <c r="M130" s="68">
        <v>0</v>
      </c>
      <c r="N130" s="121"/>
      <c r="O130" s="61">
        <f t="shared" si="2"/>
        <v>46279</v>
      </c>
      <c r="P130" s="25">
        <f>VLOOKUP(A130,'הזמנות פתוחות'!A:D,4,0)</f>
        <v>46287</v>
      </c>
      <c r="Q130" s="94"/>
      <c r="R130" s="63" t="e">
        <v>#N/A</v>
      </c>
    </row>
    <row r="131" spans="1:37" x14ac:dyDescent="0.3">
      <c r="A131" s="64" t="s">
        <v>189</v>
      </c>
      <c r="B131" s="65" t="s">
        <v>190</v>
      </c>
      <c r="C131" s="54">
        <f>VLOOKUP(A131,קוביות!A:X,24,0)</f>
        <v>3018</v>
      </c>
      <c r="D131" s="54">
        <v>3018</v>
      </c>
      <c r="E131" s="55">
        <v>17</v>
      </c>
      <c r="F131" s="57">
        <v>1</v>
      </c>
      <c r="G131" s="57" t="e">
        <f>#REF!+(E131/F131)</f>
        <v>#REF!</v>
      </c>
      <c r="H131" s="85"/>
      <c r="I131" s="66">
        <v>46250</v>
      </c>
      <c r="J131" s="66">
        <f>I131+9</f>
        <v>46259</v>
      </c>
      <c r="K131" s="66">
        <f t="shared" si="4"/>
        <v>46275</v>
      </c>
      <c r="L131" s="67">
        <v>46259</v>
      </c>
      <c r="M131" s="68">
        <v>0</v>
      </c>
      <c r="N131" s="90"/>
      <c r="O131" s="61">
        <f t="shared" ref="O131:O185" si="7">K131+3</f>
        <v>46278</v>
      </c>
      <c r="P131" s="25">
        <f>VLOOKUP(A131,'הזמנות פתוחות'!A:D,4,0)</f>
        <v>46280</v>
      </c>
      <c r="Q131" s="94"/>
      <c r="R131" s="63" t="e">
        <v>#N/A</v>
      </c>
    </row>
    <row r="132" spans="1:37" x14ac:dyDescent="0.3">
      <c r="A132" s="64" t="s">
        <v>176</v>
      </c>
      <c r="B132" s="65" t="s">
        <v>177</v>
      </c>
      <c r="C132" s="54">
        <f>VLOOKUP(A132,קוביות!A:X,24,0)</f>
        <v>3018</v>
      </c>
      <c r="D132" s="54">
        <v>3018</v>
      </c>
      <c r="E132" s="55">
        <v>49</v>
      </c>
      <c r="F132" s="80">
        <v>2</v>
      </c>
      <c r="G132" s="57" t="e">
        <f>#REF!+(E132/F132)</f>
        <v>#REF!</v>
      </c>
      <c r="H132" s="54"/>
      <c r="I132" s="66">
        <f>VLOOKUP(A132,'[1]תכנית ייצור'!$B:$H,7,0)</f>
        <v>46360</v>
      </c>
      <c r="J132" s="66">
        <f t="shared" si="6"/>
        <v>46366</v>
      </c>
      <c r="K132" s="66">
        <f t="shared" si="4"/>
        <v>46382</v>
      </c>
      <c r="L132" s="67" t="s">
        <v>378</v>
      </c>
      <c r="M132" s="68">
        <v>0</v>
      </c>
      <c r="N132" s="105"/>
      <c r="O132" s="61">
        <f t="shared" si="7"/>
        <v>46385</v>
      </c>
      <c r="P132" s="25">
        <f>VLOOKUP(A132,'הזמנות פתוחות'!A:D,4,0)</f>
        <v>46351</v>
      </c>
      <c r="Q132" s="62"/>
      <c r="R132" s="63" t="e">
        <v>#N/A</v>
      </c>
    </row>
    <row r="133" spans="1:37" x14ac:dyDescent="0.3">
      <c r="A133" s="64" t="s">
        <v>182</v>
      </c>
      <c r="B133" s="99"/>
      <c r="C133" s="54">
        <f>VLOOKUP(A133,קוביות!A:X,24,0)</f>
        <v>3018</v>
      </c>
      <c r="D133" s="54">
        <v>3018</v>
      </c>
      <c r="E133" s="80">
        <v>12</v>
      </c>
      <c r="F133" s="80">
        <v>1</v>
      </c>
      <c r="G133" s="57" t="e">
        <f>#REF!+(E133/F133)</f>
        <v>#REF!</v>
      </c>
      <c r="H133" s="101"/>
      <c r="I133" s="66">
        <v>46354</v>
      </c>
      <c r="J133" s="66">
        <f t="shared" si="6"/>
        <v>46360</v>
      </c>
      <c r="K133" s="66">
        <f t="shared" si="4"/>
        <v>46376</v>
      </c>
      <c r="L133" s="67"/>
      <c r="M133" s="68">
        <v>0</v>
      </c>
      <c r="N133" s="74" t="s">
        <v>380</v>
      </c>
      <c r="O133" s="61">
        <f t="shared" si="7"/>
        <v>46379</v>
      </c>
      <c r="P133" s="25">
        <f>VLOOKUP(A133,'הזמנות פתוחות'!A:D,4,0)</f>
        <v>46381</v>
      </c>
      <c r="Q133" s="62"/>
      <c r="R133" s="63" t="e">
        <v>#N/A</v>
      </c>
    </row>
    <row r="134" spans="1:37" x14ac:dyDescent="0.3">
      <c r="A134" s="122" t="s">
        <v>175</v>
      </c>
      <c r="B134" s="99"/>
      <c r="C134" s="54">
        <f>VLOOKUP(A134,קוביות!A:X,24,0)</f>
        <v>3018</v>
      </c>
      <c r="D134" s="54">
        <v>3018</v>
      </c>
      <c r="E134" s="80">
        <v>12</v>
      </c>
      <c r="F134" s="80">
        <v>1</v>
      </c>
      <c r="G134" s="57" t="e">
        <f>#REF!+(E134/F134)</f>
        <v>#REF!</v>
      </c>
      <c r="H134" s="101"/>
      <c r="I134" s="66">
        <v>46300</v>
      </c>
      <c r="J134" s="66">
        <f t="shared" si="6"/>
        <v>46306</v>
      </c>
      <c r="K134" s="66">
        <f t="shared" si="4"/>
        <v>46322</v>
      </c>
      <c r="L134" s="67"/>
      <c r="M134" s="68">
        <v>0</v>
      </c>
      <c r="N134" s="74"/>
      <c r="O134" s="61">
        <f t="shared" si="7"/>
        <v>46325</v>
      </c>
      <c r="P134" s="25">
        <v>46305</v>
      </c>
      <c r="Q134" s="62"/>
      <c r="R134" s="63" t="e">
        <v>#N/A</v>
      </c>
    </row>
    <row r="135" spans="1:37" x14ac:dyDescent="0.3">
      <c r="A135" s="36" t="s">
        <v>196</v>
      </c>
      <c r="B135" s="37" t="s">
        <v>197</v>
      </c>
      <c r="C135" s="37">
        <f>VLOOKUP(A135,קוביות!A:X,24,0)</f>
        <v>3018</v>
      </c>
      <c r="D135" s="37">
        <v>3018</v>
      </c>
      <c r="E135" s="39">
        <v>84</v>
      </c>
      <c r="F135" s="37">
        <v>1</v>
      </c>
      <c r="G135" s="37" t="e">
        <f>#REF!+(E135/F135)</f>
        <v>#REF!</v>
      </c>
      <c r="H135" s="37"/>
      <c r="I135" s="40">
        <v>46184</v>
      </c>
      <c r="J135" s="40" t="s">
        <v>382</v>
      </c>
      <c r="K135" s="40" t="s">
        <v>382</v>
      </c>
      <c r="L135" s="47" t="s">
        <v>378</v>
      </c>
      <c r="M135" s="48" t="s">
        <v>401</v>
      </c>
      <c r="N135" s="51" t="s">
        <v>378</v>
      </c>
      <c r="O135" s="61">
        <v>46252</v>
      </c>
      <c r="P135" s="25">
        <f>VLOOKUP(A135,'הזמנות פתוחות'!A:D,4,0)</f>
        <v>46310</v>
      </c>
      <c r="Q135" s="94"/>
      <c r="R135" s="63" t="s">
        <v>402</v>
      </c>
    </row>
    <row r="136" spans="1:37" x14ac:dyDescent="0.3">
      <c r="A136" s="64" t="s">
        <v>103</v>
      </c>
      <c r="B136" s="65" t="s">
        <v>104</v>
      </c>
      <c r="C136" s="54">
        <f>VLOOKUP(A136,קוביות!A:X,24,0)</f>
        <v>3018</v>
      </c>
      <c r="D136" s="54">
        <v>3018</v>
      </c>
      <c r="E136" s="55">
        <v>12</v>
      </c>
      <c r="F136" s="57">
        <v>1</v>
      </c>
      <c r="G136" s="57" t="e">
        <f>#REF!+(E136/F136)</f>
        <v>#REF!</v>
      </c>
      <c r="H136" s="54"/>
      <c r="I136" s="66">
        <f>VLOOKUP(A136,'[1]תכנית ייצור'!$D:$H,5,0)</f>
        <v>46351</v>
      </c>
      <c r="J136" s="66">
        <f t="shared" si="6"/>
        <v>46357</v>
      </c>
      <c r="K136" s="66">
        <f t="shared" si="4"/>
        <v>46373</v>
      </c>
      <c r="L136" s="67"/>
      <c r="M136" s="68">
        <v>0</v>
      </c>
      <c r="N136" s="74"/>
      <c r="O136" s="61">
        <f t="shared" si="7"/>
        <v>46376</v>
      </c>
      <c r="P136" s="25">
        <f>VLOOKUP(A136,'הזמנות פתוחות'!A:D,4,0)</f>
        <v>46349</v>
      </c>
      <c r="Q136" s="62"/>
      <c r="R136" s="63" t="e">
        <v>#N/A</v>
      </c>
    </row>
    <row r="137" spans="1:37" x14ac:dyDescent="0.3">
      <c r="A137" s="64" t="s">
        <v>174</v>
      </c>
      <c r="B137" s="65" t="s">
        <v>112</v>
      </c>
      <c r="C137" s="54">
        <f>VLOOKUP(A137,קוביות!A:X,24,0)</f>
        <v>3018</v>
      </c>
      <c r="D137" s="54">
        <v>3018</v>
      </c>
      <c r="E137" s="55">
        <v>12</v>
      </c>
      <c r="F137" s="57">
        <v>1</v>
      </c>
      <c r="G137" s="57" t="e">
        <f>#REF!+(E137/F137)</f>
        <v>#REF!</v>
      </c>
      <c r="H137" s="54"/>
      <c r="I137" s="66">
        <v>46346</v>
      </c>
      <c r="J137" s="66">
        <f t="shared" si="6"/>
        <v>46352</v>
      </c>
      <c r="K137" s="66">
        <f t="shared" si="4"/>
        <v>46368</v>
      </c>
      <c r="L137" s="67"/>
      <c r="M137" s="68">
        <v>0</v>
      </c>
      <c r="N137" s="74" t="s">
        <v>380</v>
      </c>
      <c r="O137" s="61">
        <f t="shared" si="7"/>
        <v>46371</v>
      </c>
      <c r="P137" s="25">
        <f>VLOOKUP(A137,'הזמנות פתוחות'!A:D,4,0)</f>
        <v>46363</v>
      </c>
      <c r="Q137" s="62"/>
      <c r="R137" s="63" t="e">
        <v>#N/A</v>
      </c>
    </row>
    <row r="138" spans="1:37" x14ac:dyDescent="0.3">
      <c r="A138" s="64" t="s">
        <v>148</v>
      </c>
      <c r="B138" s="65" t="s">
        <v>149</v>
      </c>
      <c r="C138" s="54">
        <f>VLOOKUP(A138,קוביות!A:X,24,0)</f>
        <v>3017</v>
      </c>
      <c r="D138" s="54">
        <v>3018</v>
      </c>
      <c r="E138" s="55"/>
      <c r="F138" s="57"/>
      <c r="G138" s="57"/>
      <c r="H138" s="54"/>
      <c r="I138" s="66">
        <f>VLOOKUP(A138,'[1]תכנית ייצור'!$D:$H,5,0)</f>
        <v>46277</v>
      </c>
      <c r="J138" s="66">
        <f t="shared" si="6"/>
        <v>46283</v>
      </c>
      <c r="K138" s="66">
        <f t="shared" si="4"/>
        <v>46299</v>
      </c>
      <c r="L138" s="67"/>
      <c r="M138" s="68">
        <v>0</v>
      </c>
      <c r="N138" s="70"/>
      <c r="O138" s="61">
        <f t="shared" si="7"/>
        <v>46302</v>
      </c>
      <c r="P138" s="25">
        <f>VLOOKUP(A138,'הזמנות פתוחות'!A:D,4,0)</f>
        <v>46307</v>
      </c>
      <c r="Q138" s="62"/>
      <c r="R138" s="63">
        <v>0</v>
      </c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  <c r="AH138" s="98"/>
      <c r="AI138" s="98"/>
      <c r="AJ138" s="98"/>
      <c r="AK138" s="98"/>
    </row>
    <row r="139" spans="1:37" x14ac:dyDescent="0.3">
      <c r="A139" s="64" t="s">
        <v>184</v>
      </c>
      <c r="B139" s="65" t="s">
        <v>183</v>
      </c>
      <c r="C139" s="54">
        <f>VLOOKUP(A139,קוביות!A:X,24,0)</f>
        <v>3018</v>
      </c>
      <c r="D139" s="54">
        <v>3018</v>
      </c>
      <c r="E139" s="55">
        <v>12</v>
      </c>
      <c r="F139" s="57">
        <v>1</v>
      </c>
      <c r="G139" s="57" t="e">
        <f>#REF!+(E139/F139)</f>
        <v>#REF!</v>
      </c>
      <c r="H139" s="58"/>
      <c r="I139" s="66">
        <v>46375</v>
      </c>
      <c r="J139" s="66">
        <f t="shared" si="6"/>
        <v>46381</v>
      </c>
      <c r="K139" s="66">
        <f t="shared" si="4"/>
        <v>46397</v>
      </c>
      <c r="L139" s="67"/>
      <c r="M139" s="68">
        <v>0</v>
      </c>
      <c r="N139" s="74" t="s">
        <v>380</v>
      </c>
      <c r="O139" s="61">
        <f t="shared" si="7"/>
        <v>46400</v>
      </c>
      <c r="P139" s="25">
        <f>VLOOKUP(A139,'הזמנות פתוחות'!A:D,4,0)</f>
        <v>46381</v>
      </c>
      <c r="Q139" s="94"/>
      <c r="R139" s="63">
        <v>0</v>
      </c>
    </row>
    <row r="140" spans="1:37" ht="46.8" x14ac:dyDescent="0.3">
      <c r="A140" s="64" t="s">
        <v>141</v>
      </c>
      <c r="B140" s="65" t="s">
        <v>142</v>
      </c>
      <c r="C140" s="54">
        <f>VLOOKUP(A140,קוביות!A:X,24,0)</f>
        <v>3018</v>
      </c>
      <c r="D140" s="54">
        <v>3018</v>
      </c>
      <c r="E140" s="55">
        <v>44</v>
      </c>
      <c r="F140" s="57">
        <v>1</v>
      </c>
      <c r="G140" s="57" t="e">
        <f>#REF!+(E140/F140)</f>
        <v>#REF!</v>
      </c>
      <c r="H140" s="58"/>
      <c r="I140" s="41">
        <v>46082</v>
      </c>
      <c r="J140" s="81" t="s">
        <v>382</v>
      </c>
      <c r="K140" s="81" t="s">
        <v>382</v>
      </c>
      <c r="L140" s="67"/>
      <c r="M140" s="68" t="s">
        <v>403</v>
      </c>
      <c r="N140" s="51" t="s">
        <v>378</v>
      </c>
      <c r="O140" s="61" t="s">
        <v>425</v>
      </c>
      <c r="P140" s="25">
        <f>VLOOKUP(A140,'הזמנות פתוחות'!A:D,4,0)</f>
        <v>46264</v>
      </c>
      <c r="Q140" s="62"/>
      <c r="R140" s="63" t="s">
        <v>403</v>
      </c>
    </row>
    <row r="141" spans="1:37" x14ac:dyDescent="0.3">
      <c r="A141" s="64" t="s">
        <v>178</v>
      </c>
      <c r="B141" s="65" t="s">
        <v>179</v>
      </c>
      <c r="C141" s="54">
        <f>VLOOKUP(A141,קוביות!A:X,24,0)</f>
        <v>3018</v>
      </c>
      <c r="D141" s="54">
        <v>3018</v>
      </c>
      <c r="E141" s="80">
        <v>12</v>
      </c>
      <c r="F141" s="57"/>
      <c r="G141" s="57"/>
      <c r="H141" s="54"/>
      <c r="I141" s="66">
        <f>VLOOKUP(A141,'[1]תכנית ייצור'!$B:$H,7,0)</f>
        <v>46317</v>
      </c>
      <c r="J141" s="66">
        <f t="shared" si="6"/>
        <v>46323</v>
      </c>
      <c r="K141" s="66">
        <f t="shared" ref="K141:K148" si="8">J141+16</f>
        <v>46339</v>
      </c>
      <c r="L141" s="67"/>
      <c r="M141" s="68">
        <v>0</v>
      </c>
      <c r="N141" s="86"/>
      <c r="O141" s="61">
        <f t="shared" si="7"/>
        <v>46342</v>
      </c>
      <c r="P141" s="25">
        <f>VLOOKUP(A141,'הזמנות פתוחות'!A:D,4,0)</f>
        <v>46325</v>
      </c>
      <c r="Q141" s="62"/>
      <c r="R141" s="63">
        <v>0</v>
      </c>
      <c r="S141" s="37"/>
      <c r="T141" s="39"/>
      <c r="U141" s="40"/>
      <c r="V141" s="40"/>
      <c r="W141" s="49"/>
      <c r="X141" s="49"/>
      <c r="Y141" s="48"/>
      <c r="Z141" s="51"/>
      <c r="AA141" s="113"/>
      <c r="AB141" s="25"/>
      <c r="AC141" s="62"/>
      <c r="AD141" s="63"/>
    </row>
    <row r="142" spans="1:37" ht="19.95" customHeight="1" x14ac:dyDescent="0.3">
      <c r="A142" s="64" t="s">
        <v>186</v>
      </c>
      <c r="B142" s="65"/>
      <c r="C142" s="54">
        <f>VLOOKUP(A142,קוביות!A:X,24,0)</f>
        <v>3018</v>
      </c>
      <c r="D142" s="54">
        <v>3018</v>
      </c>
      <c r="E142" s="80">
        <v>12</v>
      </c>
      <c r="F142" s="80">
        <v>1</v>
      </c>
      <c r="G142" s="93" t="e">
        <f>#REF!+(E142/F142)</f>
        <v>#REF!</v>
      </c>
      <c r="H142" s="54"/>
      <c r="I142" s="66">
        <v>46358</v>
      </c>
      <c r="J142" s="66">
        <f t="shared" si="6"/>
        <v>46364</v>
      </c>
      <c r="K142" s="66">
        <f t="shared" si="8"/>
        <v>46380</v>
      </c>
      <c r="L142" s="67"/>
      <c r="M142" s="68">
        <v>0</v>
      </c>
      <c r="N142" s="74" t="s">
        <v>380</v>
      </c>
      <c r="O142" s="61">
        <f t="shared" si="7"/>
        <v>46383</v>
      </c>
      <c r="P142" s="25">
        <v>46381</v>
      </c>
      <c r="Q142" s="62"/>
      <c r="R142" s="63">
        <v>0</v>
      </c>
    </row>
    <row r="143" spans="1:37" x14ac:dyDescent="0.3">
      <c r="A143" s="91" t="s">
        <v>185</v>
      </c>
      <c r="B143" s="99"/>
      <c r="C143" s="54">
        <f>VLOOKUP(A143,קוביות!A:X,24,0)</f>
        <v>3018</v>
      </c>
      <c r="D143" s="54">
        <v>3018</v>
      </c>
      <c r="E143" s="80">
        <v>12</v>
      </c>
      <c r="F143" s="80">
        <v>1</v>
      </c>
      <c r="G143" s="57" t="e">
        <f>#REF!+(E143/F143)</f>
        <v>#REF!</v>
      </c>
      <c r="H143" s="101"/>
      <c r="I143" s="66">
        <v>46338</v>
      </c>
      <c r="J143" s="66">
        <f t="shared" si="6"/>
        <v>46344</v>
      </c>
      <c r="K143" s="66">
        <f t="shared" si="8"/>
        <v>46360</v>
      </c>
      <c r="L143" s="67"/>
      <c r="M143" s="68">
        <v>0</v>
      </c>
      <c r="N143" s="74"/>
      <c r="O143" s="61">
        <f t="shared" si="7"/>
        <v>46363</v>
      </c>
      <c r="P143" s="25">
        <f>VLOOKUP(A143,'הזמנות פתוחות'!A:D,4,0)</f>
        <v>46366</v>
      </c>
      <c r="Q143" s="62"/>
      <c r="R143" s="63">
        <v>0</v>
      </c>
    </row>
    <row r="144" spans="1:37" ht="31.2" x14ac:dyDescent="0.3">
      <c r="A144" s="123" t="s">
        <v>161</v>
      </c>
      <c r="B144" s="37"/>
      <c r="C144" s="38">
        <f>VLOOKUP(A144,קוביות!A:X,24,0)</f>
        <v>3018</v>
      </c>
      <c r="D144" s="38">
        <v>3018</v>
      </c>
      <c r="E144" s="39">
        <v>258</v>
      </c>
      <c r="F144" s="39">
        <v>4</v>
      </c>
      <c r="G144" s="37" t="e">
        <f>#REF!+(E144/F144)</f>
        <v>#REF!</v>
      </c>
      <c r="H144" s="37"/>
      <c r="I144" s="40">
        <v>46091</v>
      </c>
      <c r="J144" s="40">
        <v>46198</v>
      </c>
      <c r="K144" s="66">
        <v>46265</v>
      </c>
      <c r="L144" s="67"/>
      <c r="M144" s="68" t="s">
        <v>533</v>
      </c>
      <c r="N144" s="37" t="s">
        <v>380</v>
      </c>
      <c r="O144" s="61">
        <v>46272</v>
      </c>
      <c r="P144" s="25">
        <f>VLOOKUP(A144,'הזמנות פתוחות'!A:D,4,0)</f>
        <v>46266</v>
      </c>
      <c r="Q144" s="62"/>
      <c r="R144" s="63" t="s">
        <v>384</v>
      </c>
    </row>
    <row r="145" spans="1:37" x14ac:dyDescent="0.3">
      <c r="A145" s="91" t="s">
        <v>199</v>
      </c>
      <c r="B145" s="65"/>
      <c r="C145" s="54">
        <f>VLOOKUP(A145,קוביות!A:X,24,0)</f>
        <v>3018</v>
      </c>
      <c r="D145" s="54">
        <v>3018</v>
      </c>
      <c r="E145" s="80">
        <v>12</v>
      </c>
      <c r="F145" s="80">
        <v>1</v>
      </c>
      <c r="G145" s="57" t="e">
        <f>#REF!+(E145/F145)</f>
        <v>#REF!</v>
      </c>
      <c r="H145" s="124"/>
      <c r="I145" s="66">
        <v>46379</v>
      </c>
      <c r="J145" s="66">
        <f t="shared" si="6"/>
        <v>46385</v>
      </c>
      <c r="K145" s="66">
        <f t="shared" si="8"/>
        <v>46401</v>
      </c>
      <c r="L145" s="67"/>
      <c r="M145" s="68">
        <v>0</v>
      </c>
      <c r="N145" s="74" t="s">
        <v>380</v>
      </c>
      <c r="O145" s="61">
        <f t="shared" si="7"/>
        <v>46404</v>
      </c>
      <c r="P145" s="25">
        <f>VLOOKUP(A145,'הזמנות פתוחות'!A:D,4,0)</f>
        <v>46440</v>
      </c>
      <c r="Q145" s="62"/>
      <c r="R145" s="63">
        <v>0</v>
      </c>
    </row>
    <row r="146" spans="1:37" ht="28.8" x14ac:dyDescent="0.3">
      <c r="A146" s="91" t="s">
        <v>192</v>
      </c>
      <c r="B146" s="99"/>
      <c r="C146" s="54">
        <f>VLOOKUP(A146,קוביות!A:X,24,0)</f>
        <v>3018</v>
      </c>
      <c r="D146" s="54">
        <v>3018</v>
      </c>
      <c r="E146" s="80"/>
      <c r="F146" s="80">
        <v>1</v>
      </c>
      <c r="G146" s="57" t="e">
        <f>#REF!+(E146/F146)</f>
        <v>#REF!</v>
      </c>
      <c r="H146" s="101"/>
      <c r="I146" s="125" t="s">
        <v>404</v>
      </c>
      <c r="J146" s="81"/>
      <c r="K146" s="66"/>
      <c r="L146" s="67"/>
      <c r="M146" s="68">
        <v>0</v>
      </c>
      <c r="N146" s="74"/>
      <c r="O146" s="61" t="s">
        <v>404</v>
      </c>
      <c r="P146" s="25">
        <f>VLOOKUP(A146,'הזמנות פתוחות'!A:D,4,0)</f>
        <v>46420</v>
      </c>
      <c r="Q146" s="62"/>
      <c r="R146" s="63" t="s">
        <v>405</v>
      </c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</row>
    <row r="147" spans="1:37" x14ac:dyDescent="0.3">
      <c r="A147" s="91" t="s">
        <v>194</v>
      </c>
      <c r="B147" s="99"/>
      <c r="C147" s="54">
        <f>VLOOKUP(A147,קוביות!A:X,24,0)</f>
        <v>3018</v>
      </c>
      <c r="D147" s="54">
        <v>3018</v>
      </c>
      <c r="E147" s="80">
        <v>12</v>
      </c>
      <c r="F147" s="80">
        <v>1</v>
      </c>
      <c r="G147" s="57" t="e">
        <f>#REF!+(E147/F147)</f>
        <v>#REF!</v>
      </c>
      <c r="H147" s="101"/>
      <c r="I147" s="66">
        <f>VLOOKUP(A147,'[1]תכנית ייצור'!$B:$H,7,0)</f>
        <v>46437</v>
      </c>
      <c r="J147" s="66">
        <f t="shared" si="6"/>
        <v>46443</v>
      </c>
      <c r="K147" s="66">
        <f t="shared" si="8"/>
        <v>46459</v>
      </c>
      <c r="L147" s="67"/>
      <c r="M147" s="68">
        <v>0</v>
      </c>
      <c r="N147" s="74"/>
      <c r="O147" s="61">
        <f t="shared" si="7"/>
        <v>46462</v>
      </c>
      <c r="P147" s="25">
        <f>VLOOKUP(A147,'הזמנות פתוחות'!A:D,4,0)</f>
        <v>46428</v>
      </c>
      <c r="Q147" s="62"/>
      <c r="R147" s="63">
        <v>0</v>
      </c>
    </row>
    <row r="148" spans="1:37" x14ac:dyDescent="0.3">
      <c r="A148" s="64" t="s">
        <v>181</v>
      </c>
      <c r="B148" s="65"/>
      <c r="C148" s="54">
        <f>VLOOKUP(A148,קוביות!A:X,24,0)</f>
        <v>3018</v>
      </c>
      <c r="D148" s="54">
        <v>3018</v>
      </c>
      <c r="E148" s="80">
        <v>12</v>
      </c>
      <c r="F148" s="57"/>
      <c r="G148" s="57"/>
      <c r="H148" s="54"/>
      <c r="I148" s="66">
        <f>VLOOKUP(A148,'[1]תכנית ייצור'!$B:$H,7,0)</f>
        <v>46380</v>
      </c>
      <c r="J148" s="66">
        <f t="shared" si="6"/>
        <v>46386</v>
      </c>
      <c r="K148" s="66">
        <f t="shared" si="8"/>
        <v>46402</v>
      </c>
      <c r="L148" s="67"/>
      <c r="M148" s="68">
        <v>0</v>
      </c>
      <c r="N148" s="74"/>
      <c r="O148" s="61">
        <f t="shared" si="7"/>
        <v>46405</v>
      </c>
      <c r="P148" s="25">
        <f>VLOOKUP(A148,'הזמנות פתוחות'!A:D,4,0)</f>
        <v>46405</v>
      </c>
      <c r="Q148" s="126"/>
      <c r="R148" s="63">
        <v>0</v>
      </c>
    </row>
    <row r="149" spans="1:37" s="98" customFormat="1" ht="31.95" customHeight="1" x14ac:dyDescent="0.3">
      <c r="A149" s="64" t="s">
        <v>198</v>
      </c>
      <c r="B149" s="65"/>
      <c r="C149" s="54">
        <f>VLOOKUP(A149,קוביות!A:X,24,0)</f>
        <v>3018</v>
      </c>
      <c r="D149" s="54">
        <v>3018</v>
      </c>
      <c r="E149" s="80">
        <v>12</v>
      </c>
      <c r="F149" s="57"/>
      <c r="G149" s="57"/>
      <c r="H149" s="54"/>
      <c r="I149" s="127" t="s">
        <v>406</v>
      </c>
      <c r="J149" s="81"/>
      <c r="K149" s="66"/>
      <c r="L149" s="67"/>
      <c r="M149" s="68">
        <v>0</v>
      </c>
      <c r="N149" s="74"/>
      <c r="O149" s="61" t="s">
        <v>414</v>
      </c>
      <c r="P149" s="25">
        <f>VLOOKUP(A149,'הזמנות פתוחות'!A:D,4,0)</f>
        <v>46433</v>
      </c>
      <c r="Q149" s="126"/>
      <c r="R149" s="63" t="s">
        <v>407</v>
      </c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</row>
    <row r="150" spans="1:37" ht="46.8" x14ac:dyDescent="0.3">
      <c r="A150" s="91" t="s">
        <v>193</v>
      </c>
      <c r="B150" s="65"/>
      <c r="C150" s="54">
        <f>VLOOKUP(A150,קוביות!A:X,24,0)</f>
        <v>3018</v>
      </c>
      <c r="D150" s="54">
        <v>3018</v>
      </c>
      <c r="E150" s="80"/>
      <c r="F150" s="80"/>
      <c r="G150" s="57"/>
      <c r="H150" s="54"/>
      <c r="I150" s="40" t="s">
        <v>382</v>
      </c>
      <c r="J150" s="81" t="s">
        <v>382</v>
      </c>
      <c r="K150" s="66" t="s">
        <v>382</v>
      </c>
      <c r="L150" s="67"/>
      <c r="M150" s="68" t="s">
        <v>403</v>
      </c>
      <c r="N150" s="74"/>
      <c r="O150" s="61" t="s">
        <v>425</v>
      </c>
      <c r="P150" s="25">
        <f>VLOOKUP(A150,'הזמנות פתוחות'!A:D,4,0)</f>
        <v>46264</v>
      </c>
      <c r="Q150" s="62"/>
      <c r="R150" s="63" t="s">
        <v>403</v>
      </c>
    </row>
    <row r="151" spans="1:37" ht="31.2" x14ac:dyDescent="0.3">
      <c r="A151" s="64" t="s">
        <v>214</v>
      </c>
      <c r="B151" s="65"/>
      <c r="C151" s="54" t="s">
        <v>435</v>
      </c>
      <c r="D151" s="54">
        <v>3019</v>
      </c>
      <c r="E151" s="55">
        <v>15</v>
      </c>
      <c r="F151" s="57">
        <v>1</v>
      </c>
      <c r="G151" s="57" t="e">
        <f>#REF!+(E151/F151)</f>
        <v>#REF!</v>
      </c>
      <c r="H151" s="54"/>
      <c r="I151" s="41">
        <v>46224</v>
      </c>
      <c r="J151" s="173">
        <v>46245</v>
      </c>
      <c r="K151" s="66">
        <v>46271</v>
      </c>
      <c r="L151" s="67"/>
      <c r="M151" s="68" t="s">
        <v>539</v>
      </c>
      <c r="N151" s="74" t="s">
        <v>380</v>
      </c>
      <c r="O151" s="61">
        <v>38972</v>
      </c>
      <c r="P151" s="25">
        <f>VLOOKUP(A151,'הזמנות פתוחות'!A:D,4,0)</f>
        <v>46289</v>
      </c>
      <c r="Q151" s="62"/>
      <c r="R151" s="63" t="s">
        <v>384</v>
      </c>
    </row>
    <row r="152" spans="1:37" x14ac:dyDescent="0.3">
      <c r="A152" s="64" t="s">
        <v>203</v>
      </c>
      <c r="B152" s="65"/>
      <c r="C152" s="54">
        <f>VLOOKUP(A152,קוביות!A:X,24,0)</f>
        <v>3019</v>
      </c>
      <c r="D152" s="54">
        <v>3019</v>
      </c>
      <c r="E152" s="55">
        <v>12</v>
      </c>
      <c r="F152" s="80">
        <v>1</v>
      </c>
      <c r="G152" s="57" t="e">
        <f>#REF!+(E152/F152)</f>
        <v>#REF!</v>
      </c>
      <c r="H152" s="54"/>
      <c r="I152" s="66">
        <v>46405</v>
      </c>
      <c r="J152" s="66">
        <f t="shared" ref="J152:J175" si="9">I152+6</f>
        <v>46411</v>
      </c>
      <c r="K152" s="66">
        <f t="shared" ref="K152:K197" si="10">J152+16</f>
        <v>46427</v>
      </c>
      <c r="L152" s="67"/>
      <c r="M152" s="68">
        <v>0</v>
      </c>
      <c r="N152" s="72"/>
      <c r="O152" s="61">
        <f t="shared" si="7"/>
        <v>46430</v>
      </c>
      <c r="P152" s="25">
        <v>46420</v>
      </c>
      <c r="Q152" s="62"/>
      <c r="R152" s="63">
        <v>0</v>
      </c>
    </row>
    <row r="153" spans="1:37" ht="19.2" customHeight="1" x14ac:dyDescent="0.3">
      <c r="A153" s="64" t="s">
        <v>209</v>
      </c>
      <c r="B153" s="65" t="s">
        <v>210</v>
      </c>
      <c r="C153" s="54">
        <f>VLOOKUP(A153,קוביות!A:X,24,0)</f>
        <v>3019</v>
      </c>
      <c r="D153" s="54">
        <v>3019</v>
      </c>
      <c r="E153" s="80"/>
      <c r="F153" s="57"/>
      <c r="G153" s="57"/>
      <c r="H153" s="54"/>
      <c r="I153" s="66">
        <f>VLOOKUP(A153,'[1]תכנית ייצור'!$B:$H,7,0)</f>
        <v>46323</v>
      </c>
      <c r="J153" s="66">
        <f t="shared" si="9"/>
        <v>46329</v>
      </c>
      <c r="K153" s="66">
        <f t="shared" si="10"/>
        <v>46345</v>
      </c>
      <c r="L153" s="67"/>
      <c r="M153" s="68">
        <v>0</v>
      </c>
      <c r="N153" s="70"/>
      <c r="O153" s="61">
        <f t="shared" si="7"/>
        <v>46348</v>
      </c>
      <c r="P153" s="25">
        <f>VLOOKUP(A153,'הזמנות פתוחות'!A:D,4,0)</f>
        <v>46310</v>
      </c>
      <c r="Q153" s="62"/>
      <c r="R153" s="63">
        <v>0</v>
      </c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</row>
    <row r="154" spans="1:37" x14ac:dyDescent="0.3">
      <c r="A154" s="64" t="s">
        <v>220</v>
      </c>
      <c r="B154" s="65"/>
      <c r="C154" s="54">
        <f>VLOOKUP(A154,קוביות!A:X,24,0)</f>
        <v>3019</v>
      </c>
      <c r="D154" s="54">
        <v>3019</v>
      </c>
      <c r="E154" s="80">
        <v>12</v>
      </c>
      <c r="F154" s="80">
        <v>1</v>
      </c>
      <c r="G154" s="57" t="e">
        <f>#REF!+(E154/F154)</f>
        <v>#REF!</v>
      </c>
      <c r="H154" s="54"/>
      <c r="I154" s="66">
        <f>VLOOKUP(A154,'[1]תכנית ייצור'!$B:$H,7,0)</f>
        <v>46399</v>
      </c>
      <c r="J154" s="66">
        <f t="shared" si="9"/>
        <v>46405</v>
      </c>
      <c r="K154" s="66">
        <f t="shared" si="10"/>
        <v>46421</v>
      </c>
      <c r="L154" s="67"/>
      <c r="M154" s="68">
        <v>0</v>
      </c>
      <c r="N154" s="72"/>
      <c r="O154" s="61">
        <f t="shared" si="7"/>
        <v>46424</v>
      </c>
      <c r="P154" s="25">
        <f>VLOOKUP(A154,'הזמנות פתוחות'!A:D,4,0)</f>
        <v>46396</v>
      </c>
      <c r="Q154" s="62"/>
      <c r="R154" s="63"/>
    </row>
    <row r="155" spans="1:37" x14ac:dyDescent="0.3">
      <c r="A155" s="64" t="s">
        <v>224</v>
      </c>
      <c r="B155" s="65"/>
      <c r="C155" s="54">
        <f>VLOOKUP(A155,קוביות!A:X,24,0)</f>
        <v>3019</v>
      </c>
      <c r="D155" s="54">
        <v>3019</v>
      </c>
      <c r="E155" s="80">
        <v>15</v>
      </c>
      <c r="F155" s="80">
        <v>1</v>
      </c>
      <c r="G155" s="57" t="e">
        <f>#REF!+(E155/F155)</f>
        <v>#REF!</v>
      </c>
      <c r="H155" s="54"/>
      <c r="I155" s="66">
        <f>VLOOKUP(A155,'[1]תכנית ייצור'!$D:$H,5,0)</f>
        <v>46380</v>
      </c>
      <c r="J155" s="66">
        <f t="shared" si="9"/>
        <v>46386</v>
      </c>
      <c r="K155" s="66">
        <f t="shared" si="10"/>
        <v>46402</v>
      </c>
      <c r="L155" s="67"/>
      <c r="M155" s="68">
        <v>0</v>
      </c>
      <c r="N155" s="74" t="s">
        <v>380</v>
      </c>
      <c r="O155" s="61">
        <f t="shared" si="7"/>
        <v>46405</v>
      </c>
      <c r="P155" s="25">
        <f>VLOOKUP(A155,'הזמנות פתוחות'!A:D,4,0)</f>
        <v>46386</v>
      </c>
      <c r="Q155" s="62"/>
      <c r="R155" s="63">
        <v>0</v>
      </c>
    </row>
    <row r="156" spans="1:37" x14ac:dyDescent="0.3">
      <c r="A156" s="64" t="s">
        <v>225</v>
      </c>
      <c r="B156" s="65"/>
      <c r="C156" s="54">
        <f>VLOOKUP(A156,קוביות!A:X,24,0)</f>
        <v>3019</v>
      </c>
      <c r="D156" s="54">
        <v>3019</v>
      </c>
      <c r="E156" s="80">
        <v>12</v>
      </c>
      <c r="F156" s="80">
        <v>1</v>
      </c>
      <c r="G156" s="57" t="e">
        <f>#REF!+(E156/F156)</f>
        <v>#REF!</v>
      </c>
      <c r="H156" s="102"/>
      <c r="I156" s="66">
        <f>VLOOKUP(A156,'[1]תכנית ייצור'!$B:$H,7,0)</f>
        <v>46327</v>
      </c>
      <c r="J156" s="66">
        <f t="shared" si="9"/>
        <v>46333</v>
      </c>
      <c r="K156" s="66">
        <f t="shared" si="10"/>
        <v>46349</v>
      </c>
      <c r="L156" s="67"/>
      <c r="M156" s="68">
        <v>0</v>
      </c>
      <c r="N156" s="97"/>
      <c r="O156" s="61">
        <f t="shared" si="7"/>
        <v>46352</v>
      </c>
      <c r="P156" s="25">
        <v>46340</v>
      </c>
      <c r="Q156" s="62"/>
      <c r="R156" s="63">
        <v>0</v>
      </c>
    </row>
    <row r="157" spans="1:37" x14ac:dyDescent="0.3">
      <c r="A157" s="64" t="s">
        <v>223</v>
      </c>
      <c r="B157" s="65"/>
      <c r="C157" s="54">
        <f>VLOOKUP(A157,קוביות!A:X,24,0)</f>
        <v>3019</v>
      </c>
      <c r="D157" s="54">
        <v>3019</v>
      </c>
      <c r="E157" s="80">
        <v>15</v>
      </c>
      <c r="F157" s="80">
        <v>1</v>
      </c>
      <c r="G157" s="57" t="e">
        <f>#REF!+(E157/F157)</f>
        <v>#REF!</v>
      </c>
      <c r="H157" s="54"/>
      <c r="I157" s="66">
        <f>VLOOKUP(A157,'[1]תכנית ייצור'!$D:$H,5,0)</f>
        <v>46386</v>
      </c>
      <c r="J157" s="66">
        <f t="shared" si="9"/>
        <v>46392</v>
      </c>
      <c r="K157" s="66">
        <f t="shared" si="10"/>
        <v>46408</v>
      </c>
      <c r="L157" s="67"/>
      <c r="M157" s="68">
        <v>0</v>
      </c>
      <c r="N157" s="72"/>
      <c r="O157" s="61">
        <f t="shared" si="7"/>
        <v>46411</v>
      </c>
      <c r="P157" s="25">
        <f>VLOOKUP(A157,'הזמנות פתוחות'!A:D,4,0)</f>
        <v>46392</v>
      </c>
      <c r="Q157" s="62"/>
      <c r="R157" s="63">
        <v>0</v>
      </c>
    </row>
    <row r="158" spans="1:37" ht="28.95" customHeight="1" x14ac:dyDescent="0.3">
      <c r="A158" s="64" t="s">
        <v>205</v>
      </c>
      <c r="B158" s="65"/>
      <c r="C158" s="54">
        <f>VLOOKUP(A158,קוביות!A:X,24,0)</f>
        <v>3019</v>
      </c>
      <c r="D158" s="54">
        <v>3019</v>
      </c>
      <c r="E158" s="80">
        <v>12</v>
      </c>
      <c r="F158" s="80">
        <v>1</v>
      </c>
      <c r="G158" s="57" t="e">
        <f>#REF!+(E158/F158)</f>
        <v>#REF!</v>
      </c>
      <c r="H158" s="54"/>
      <c r="I158" s="66">
        <f>VLOOKUP(A158,'[1]תכנית ייצור'!$B:$H,7,0)</f>
        <v>46370</v>
      </c>
      <c r="J158" s="66">
        <f t="shared" si="9"/>
        <v>46376</v>
      </c>
      <c r="K158" s="66">
        <f t="shared" si="10"/>
        <v>46392</v>
      </c>
      <c r="L158" s="67"/>
      <c r="M158" s="68">
        <v>0</v>
      </c>
      <c r="N158" s="72"/>
      <c r="O158" s="61">
        <f t="shared" si="7"/>
        <v>46395</v>
      </c>
      <c r="P158" s="25">
        <f>VLOOKUP(A158,'הזמנות פתוחות'!A:D,4,0)</f>
        <v>46385</v>
      </c>
      <c r="Q158" s="62"/>
      <c r="R158" s="63">
        <v>0</v>
      </c>
    </row>
    <row r="159" spans="1:37" ht="27.6" customHeight="1" x14ac:dyDescent="0.3">
      <c r="A159" s="64" t="s">
        <v>215</v>
      </c>
      <c r="B159" s="65"/>
      <c r="C159" s="54">
        <f>VLOOKUP(A159,קוביות!A:X,24,0)</f>
        <v>3019</v>
      </c>
      <c r="D159" s="54">
        <v>3019</v>
      </c>
      <c r="E159" s="55">
        <v>97</v>
      </c>
      <c r="F159" s="80">
        <v>1</v>
      </c>
      <c r="G159" s="57" t="e">
        <f>#REF!+(E159/F159)</f>
        <v>#REF!</v>
      </c>
      <c r="H159" s="54"/>
      <c r="I159" s="40" t="s">
        <v>382</v>
      </c>
      <c r="J159" s="40" t="s">
        <v>382</v>
      </c>
      <c r="K159" s="66">
        <v>46265</v>
      </c>
      <c r="L159" s="67"/>
      <c r="M159" s="68" t="s">
        <v>532</v>
      </c>
      <c r="N159" s="74"/>
      <c r="O159" s="61">
        <f t="shared" si="7"/>
        <v>46268</v>
      </c>
      <c r="P159" s="25">
        <f>VLOOKUP(A159,'הזמנות פתוחות'!A:D,4,0)</f>
        <v>46282</v>
      </c>
      <c r="Q159" s="62"/>
      <c r="R159" s="63" t="s">
        <v>411</v>
      </c>
    </row>
    <row r="160" spans="1:37" x14ac:dyDescent="0.3">
      <c r="A160" s="64" t="s">
        <v>206</v>
      </c>
      <c r="B160" s="65" t="s">
        <v>207</v>
      </c>
      <c r="C160" s="54">
        <f>VLOOKUP(A160,קוביות!A:X,24,0)</f>
        <v>3019</v>
      </c>
      <c r="D160" s="54">
        <v>3019</v>
      </c>
      <c r="E160" s="80">
        <v>12</v>
      </c>
      <c r="F160" s="80">
        <v>1</v>
      </c>
      <c r="G160" s="57" t="e">
        <f>#REF!+(E160/F160)</f>
        <v>#REF!</v>
      </c>
      <c r="H160" s="102"/>
      <c r="I160" s="66">
        <f>VLOOKUP(A160,'[1]תכנית ייצור'!$D:$H,5,0)</f>
        <v>46268</v>
      </c>
      <c r="J160" s="66">
        <f t="shared" si="9"/>
        <v>46274</v>
      </c>
      <c r="K160" s="66">
        <f t="shared" si="10"/>
        <v>46290</v>
      </c>
      <c r="L160" s="67"/>
      <c r="M160" s="68">
        <v>0</v>
      </c>
      <c r="N160" s="74" t="s">
        <v>380</v>
      </c>
      <c r="O160" s="61">
        <f t="shared" si="7"/>
        <v>46293</v>
      </c>
      <c r="P160" s="25">
        <f>VLOOKUP(A160,'הזמנות פתוחות'!A:D,4,0)</f>
        <v>46280</v>
      </c>
      <c r="Q160" s="62"/>
      <c r="R160" s="63">
        <v>0</v>
      </c>
    </row>
    <row r="161" spans="1:18" ht="16.2" thickBot="1" x14ac:dyDescent="0.35">
      <c r="A161" s="64" t="s">
        <v>204</v>
      </c>
      <c r="B161" s="130"/>
      <c r="C161" s="54">
        <f>VLOOKUP(A161,קוביות!A:X,24,0)</f>
        <v>3019</v>
      </c>
      <c r="D161" s="54">
        <v>3019</v>
      </c>
      <c r="E161" s="80">
        <v>12</v>
      </c>
      <c r="F161" s="131">
        <v>1</v>
      </c>
      <c r="G161" s="57" t="e">
        <f>#REF!+(E161/F161)</f>
        <v>#REF!</v>
      </c>
      <c r="H161" s="132"/>
      <c r="I161" s="66">
        <f>VLOOKUP(A161,'[1]תכנית ייצור'!$B:$H,7,0)</f>
        <v>46375</v>
      </c>
      <c r="J161" s="66">
        <f t="shared" si="9"/>
        <v>46381</v>
      </c>
      <c r="K161" s="66">
        <f t="shared" si="10"/>
        <v>46397</v>
      </c>
      <c r="L161" s="67"/>
      <c r="M161" s="68">
        <v>0</v>
      </c>
      <c r="N161" s="133"/>
      <c r="O161" s="61">
        <f t="shared" si="7"/>
        <v>46400</v>
      </c>
      <c r="P161" s="25">
        <f>VLOOKUP(A161,'הזמנות פתוחות'!A:D,4,0)</f>
        <v>46390</v>
      </c>
      <c r="Q161" s="62"/>
      <c r="R161" s="63">
        <v>0</v>
      </c>
    </row>
    <row r="162" spans="1:18" x14ac:dyDescent="0.3">
      <c r="A162" s="64" t="s">
        <v>216</v>
      </c>
      <c r="B162" s="134"/>
      <c r="C162" s="54">
        <f>VLOOKUP(A162,קוביות!A:X,24,0)</f>
        <v>3019</v>
      </c>
      <c r="D162" s="54">
        <v>3019</v>
      </c>
      <c r="E162" s="80">
        <v>24</v>
      </c>
      <c r="F162" s="135">
        <v>2</v>
      </c>
      <c r="G162" s="57" t="e">
        <f>#REF!+(E162/F162)</f>
        <v>#REF!</v>
      </c>
      <c r="H162" s="136"/>
      <c r="I162" s="66">
        <f>VLOOKUP(A162,'[1]תכנית ייצור'!$B:$H,7,0)</f>
        <v>46363</v>
      </c>
      <c r="J162" s="66">
        <f t="shared" si="9"/>
        <v>46369</v>
      </c>
      <c r="K162" s="66">
        <f t="shared" si="10"/>
        <v>46385</v>
      </c>
      <c r="L162" s="67"/>
      <c r="M162" s="68">
        <v>0</v>
      </c>
      <c r="N162" s="74"/>
      <c r="O162" s="61">
        <f t="shared" si="7"/>
        <v>46388</v>
      </c>
      <c r="P162" s="25">
        <f>VLOOKUP(A162,'הזמנות פתוחות'!A:D,4,0)</f>
        <v>46363</v>
      </c>
      <c r="Q162" s="62"/>
      <c r="R162" s="63">
        <v>0</v>
      </c>
    </row>
    <row r="163" spans="1:18" x14ac:dyDescent="0.3">
      <c r="A163" s="64" t="s">
        <v>195</v>
      </c>
      <c r="B163" s="134"/>
      <c r="C163" s="54">
        <f>VLOOKUP(A163,קוביות!A:X,24,0)</f>
        <v>3019</v>
      </c>
      <c r="D163" s="54">
        <v>3019</v>
      </c>
      <c r="E163" s="80">
        <v>12</v>
      </c>
      <c r="F163" s="135">
        <v>1</v>
      </c>
      <c r="G163" s="57" t="e">
        <f>#REF!+(E163/F163)</f>
        <v>#REF!</v>
      </c>
      <c r="H163" s="136"/>
      <c r="I163" s="66">
        <f>VLOOKUP(A163,'[1]תכנית ייצור'!$B:$H,7,0)</f>
        <v>46283</v>
      </c>
      <c r="J163" s="66">
        <f t="shared" si="9"/>
        <v>46289</v>
      </c>
      <c r="K163" s="66">
        <f t="shared" si="10"/>
        <v>46305</v>
      </c>
      <c r="L163" s="67"/>
      <c r="M163" s="68">
        <v>0</v>
      </c>
      <c r="N163" s="74"/>
      <c r="O163" s="61">
        <f t="shared" si="7"/>
        <v>46308</v>
      </c>
      <c r="P163" s="25">
        <f>VLOOKUP(A163,'הזמנות פתוחות'!A:D,4,0)</f>
        <v>46363</v>
      </c>
      <c r="Q163" s="62"/>
      <c r="R163" s="63">
        <v>0</v>
      </c>
    </row>
    <row r="164" spans="1:18" x14ac:dyDescent="0.3">
      <c r="A164" s="64" t="s">
        <v>211</v>
      </c>
      <c r="B164" s="76"/>
      <c r="C164" s="54">
        <f>VLOOKUP(A164,קוביות!A:X,24,0)</f>
        <v>3019</v>
      </c>
      <c r="D164" s="54">
        <v>3019</v>
      </c>
      <c r="E164" s="80">
        <v>12</v>
      </c>
      <c r="F164" s="135">
        <v>1</v>
      </c>
      <c r="G164" s="57" t="e">
        <f>#REF!+(E165/F164)</f>
        <v>#REF!</v>
      </c>
      <c r="H164" s="77"/>
      <c r="I164" s="66">
        <f>VLOOKUP(A164,'[1]תכנית ייצור'!$D:$H,5,0)</f>
        <v>46305</v>
      </c>
      <c r="J164" s="66">
        <f t="shared" si="9"/>
        <v>46311</v>
      </c>
      <c r="K164" s="66">
        <f t="shared" si="10"/>
        <v>46327</v>
      </c>
      <c r="L164" s="67"/>
      <c r="M164" s="68">
        <v>0</v>
      </c>
      <c r="N164" s="86"/>
      <c r="O164" s="61">
        <f t="shared" si="7"/>
        <v>46330</v>
      </c>
      <c r="P164" s="25">
        <f>VLOOKUP(A164,'הזמנות פתוחות'!A:D,4,0)</f>
        <v>46391</v>
      </c>
      <c r="Q164" s="62"/>
      <c r="R164" s="63">
        <v>0</v>
      </c>
    </row>
    <row r="165" spans="1:18" x14ac:dyDescent="0.3">
      <c r="A165" s="64" t="s">
        <v>208</v>
      </c>
      <c r="B165" s="76"/>
      <c r="C165" s="54">
        <f>VLOOKUP(A165,קוביות!A:X,24,0)</f>
        <v>3019</v>
      </c>
      <c r="D165" s="54">
        <v>3019</v>
      </c>
      <c r="E165" s="80">
        <v>12</v>
      </c>
      <c r="F165" s="135">
        <v>1</v>
      </c>
      <c r="G165" s="57" t="e">
        <f>#REF!+(E165/F165)</f>
        <v>#REF!</v>
      </c>
      <c r="H165" s="77"/>
      <c r="I165" s="66">
        <f>VLOOKUP(A165,'[1]תכנית ייצור'!$B:$H,7,0)</f>
        <v>46336</v>
      </c>
      <c r="J165" s="66">
        <f t="shared" si="9"/>
        <v>46342</v>
      </c>
      <c r="K165" s="66">
        <f t="shared" si="10"/>
        <v>46358</v>
      </c>
      <c r="L165" s="67"/>
      <c r="M165" s="68">
        <v>0</v>
      </c>
      <c r="N165" s="137"/>
      <c r="O165" s="61">
        <f t="shared" si="7"/>
        <v>46361</v>
      </c>
      <c r="P165" s="25">
        <f>VLOOKUP(A165,'הזמנות פתוחות'!A:D,4,0)</f>
        <v>46356</v>
      </c>
      <c r="Q165" s="62"/>
      <c r="R165" s="63">
        <v>0</v>
      </c>
    </row>
    <row r="166" spans="1:18" ht="16.2" thickBot="1" x14ac:dyDescent="0.35">
      <c r="A166" s="64" t="s">
        <v>219</v>
      </c>
      <c r="B166" s="99"/>
      <c r="C166" s="54">
        <f>VLOOKUP(A166,קוביות!A:X,24,0)</f>
        <v>3019</v>
      </c>
      <c r="D166" s="54">
        <v>3019</v>
      </c>
      <c r="E166" s="80">
        <v>12</v>
      </c>
      <c r="F166" s="80">
        <v>1</v>
      </c>
      <c r="G166" s="57" t="e">
        <f>#REF!+(E166/F166)</f>
        <v>#REF!</v>
      </c>
      <c r="H166" s="101"/>
      <c r="I166" s="66">
        <f>VLOOKUP(A166,'[1]תכנית ייצור'!$D:$H,5,0)</f>
        <v>46303</v>
      </c>
      <c r="J166" s="66">
        <f t="shared" si="9"/>
        <v>46309</v>
      </c>
      <c r="K166" s="66">
        <f t="shared" si="10"/>
        <v>46325</v>
      </c>
      <c r="L166" s="67"/>
      <c r="M166" s="68">
        <v>0</v>
      </c>
      <c r="N166" s="133"/>
      <c r="O166" s="61">
        <f t="shared" si="7"/>
        <v>46328</v>
      </c>
      <c r="P166" s="25">
        <f>VLOOKUP(A166,'הזמנות פתוחות'!A:D,4,0)</f>
        <v>46335</v>
      </c>
      <c r="Q166" s="62"/>
      <c r="R166" s="63">
        <v>0</v>
      </c>
    </row>
    <row r="167" spans="1:18" x14ac:dyDescent="0.3">
      <c r="A167" s="64" t="s">
        <v>140</v>
      </c>
      <c r="B167" s="99"/>
      <c r="C167" s="54">
        <f>VLOOKUP(A167,קוביות!A:X,24,0)</f>
        <v>3019</v>
      </c>
      <c r="D167" s="54">
        <v>3019</v>
      </c>
      <c r="E167" s="80">
        <v>12</v>
      </c>
      <c r="F167" s="80">
        <v>1</v>
      </c>
      <c r="G167" s="57" t="e">
        <f>#REF!+(E167/F167)</f>
        <v>#REF!</v>
      </c>
      <c r="H167" s="101"/>
      <c r="I167" s="66">
        <f>VLOOKUP(A167,'[1]תכנית ייצור'!$D:$H,5,0)</f>
        <v>46358</v>
      </c>
      <c r="J167" s="66">
        <f t="shared" si="9"/>
        <v>46364</v>
      </c>
      <c r="K167" s="66">
        <f t="shared" si="10"/>
        <v>46380</v>
      </c>
      <c r="L167" s="67"/>
      <c r="M167" s="68">
        <v>0</v>
      </c>
      <c r="N167" s="74"/>
      <c r="O167" s="61">
        <f t="shared" si="7"/>
        <v>46383</v>
      </c>
      <c r="P167" s="25">
        <f>VLOOKUP(A167,'הזמנות פתוחות'!A:D,4,0)</f>
        <v>46420</v>
      </c>
      <c r="Q167" s="62"/>
      <c r="R167" s="63">
        <v>0</v>
      </c>
    </row>
    <row r="168" spans="1:18" x14ac:dyDescent="0.3">
      <c r="A168" s="64" t="s">
        <v>226</v>
      </c>
      <c r="B168" s="99"/>
      <c r="C168" s="54">
        <f>VLOOKUP(A168,קוביות!A:X,24,0)</f>
        <v>3019</v>
      </c>
      <c r="D168" s="54">
        <v>3019</v>
      </c>
      <c r="E168" s="80">
        <v>12</v>
      </c>
      <c r="F168" s="80">
        <v>1</v>
      </c>
      <c r="G168" s="57" t="e">
        <f>#REF!+(E168/F168)</f>
        <v>#REF!</v>
      </c>
      <c r="H168" s="54" t="s">
        <v>412</v>
      </c>
      <c r="I168" s="66">
        <f>VLOOKUP(A168,'[1]תכנית ייצור'!$D:$H,5,0)</f>
        <v>46353</v>
      </c>
      <c r="J168" s="66">
        <f t="shared" si="9"/>
        <v>46359</v>
      </c>
      <c r="K168" s="66">
        <f t="shared" si="10"/>
        <v>46375</v>
      </c>
      <c r="L168" s="67"/>
      <c r="M168" s="68">
        <v>0</v>
      </c>
      <c r="N168" s="105"/>
      <c r="O168" s="61">
        <f t="shared" si="7"/>
        <v>46378</v>
      </c>
      <c r="P168" s="25">
        <f>VLOOKUP(A168,'הזמנות פתוחות'!A:D,4,0)</f>
        <v>46434</v>
      </c>
      <c r="Q168" s="62"/>
      <c r="R168" s="63">
        <v>0</v>
      </c>
    </row>
    <row r="169" spans="1:18" ht="34.200000000000003" customHeight="1" x14ac:dyDescent="0.3">
      <c r="A169" s="64" t="s">
        <v>143</v>
      </c>
      <c r="B169" s="99"/>
      <c r="C169" s="54">
        <f>VLOOKUP(A169,קוביות!A:X,24,0)</f>
        <v>3019</v>
      </c>
      <c r="D169" s="54">
        <v>3019</v>
      </c>
      <c r="E169" s="80">
        <v>23</v>
      </c>
      <c r="F169" s="80">
        <v>1</v>
      </c>
      <c r="G169" s="57" t="e">
        <f>#REF!+(E169/F169)</f>
        <v>#REF!</v>
      </c>
      <c r="H169" s="103" t="s">
        <v>392</v>
      </c>
      <c r="I169" s="66" t="e">
        <f>VLOOKUP(A169,'[1]תכנית ייצור'!$D:$H,5,0)</f>
        <v>#N/A</v>
      </c>
      <c r="J169" s="66" t="e">
        <f t="shared" si="9"/>
        <v>#N/A</v>
      </c>
      <c r="K169" s="66" t="e">
        <f t="shared" si="10"/>
        <v>#N/A</v>
      </c>
      <c r="L169" s="67"/>
      <c r="M169" s="68" t="s">
        <v>829</v>
      </c>
      <c r="N169" s="74" t="s">
        <v>380</v>
      </c>
      <c r="O169" s="61" t="e">
        <f t="shared" si="7"/>
        <v>#N/A</v>
      </c>
      <c r="P169" s="25">
        <f>VLOOKUP(A169,'הזמנות פתוחות'!A:D,4,0)</f>
        <v>46377</v>
      </c>
      <c r="Q169" s="62"/>
      <c r="R169" s="63" t="s">
        <v>828</v>
      </c>
    </row>
    <row r="170" spans="1:18" x14ac:dyDescent="0.3">
      <c r="A170" s="64" t="s">
        <v>201</v>
      </c>
      <c r="B170" s="99"/>
      <c r="C170" s="54">
        <f>VLOOKUP(A170,קוביות!A:X,24,0)</f>
        <v>3019</v>
      </c>
      <c r="D170" s="54">
        <v>3019</v>
      </c>
      <c r="E170" s="80">
        <v>12</v>
      </c>
      <c r="F170" s="80">
        <v>1</v>
      </c>
      <c r="G170" s="57" t="e">
        <f>#REF!+(E170/F170)</f>
        <v>#REF!</v>
      </c>
      <c r="H170" s="101"/>
      <c r="I170" s="66">
        <v>46055</v>
      </c>
      <c r="J170" s="66">
        <f t="shared" si="9"/>
        <v>46061</v>
      </c>
      <c r="K170" s="66">
        <f t="shared" si="10"/>
        <v>46077</v>
      </c>
      <c r="L170" s="67"/>
      <c r="M170" s="68">
        <v>0</v>
      </c>
      <c r="N170" s="74"/>
      <c r="O170" s="61">
        <f t="shared" si="7"/>
        <v>46080</v>
      </c>
      <c r="P170" s="25">
        <f>VLOOKUP(A170,'הזמנות פתוחות'!A:D,4,0)</f>
        <v>46444</v>
      </c>
      <c r="Q170" s="62"/>
      <c r="R170" s="63">
        <v>0</v>
      </c>
    </row>
    <row r="171" spans="1:18" x14ac:dyDescent="0.3">
      <c r="A171" s="91" t="s">
        <v>191</v>
      </c>
      <c r="B171" s="65"/>
      <c r="C171" s="54">
        <f>VLOOKUP(A171,קוביות!A:X,24,0)</f>
        <v>3019</v>
      </c>
      <c r="D171" s="54">
        <v>3019</v>
      </c>
      <c r="E171" s="80">
        <v>12</v>
      </c>
      <c r="F171" s="57"/>
      <c r="G171" s="57"/>
      <c r="H171" s="54"/>
      <c r="I171" s="66">
        <f>VLOOKUP(A171,'[1]תכנית ייצור'!$D:$H,5,0)</f>
        <v>46348</v>
      </c>
      <c r="J171" s="66">
        <f t="shared" si="9"/>
        <v>46354</v>
      </c>
      <c r="K171" s="66">
        <f t="shared" si="10"/>
        <v>46370</v>
      </c>
      <c r="L171" s="67"/>
      <c r="M171" s="68">
        <v>0</v>
      </c>
      <c r="N171" s="74"/>
      <c r="O171" s="61">
        <f t="shared" si="7"/>
        <v>46373</v>
      </c>
      <c r="P171" s="25">
        <f>VLOOKUP(A171,'הזמנות פתוחות'!A:D,4,0)</f>
        <v>46419</v>
      </c>
      <c r="Q171" s="126"/>
      <c r="R171" s="63">
        <v>0</v>
      </c>
    </row>
    <row r="172" spans="1:18" x14ac:dyDescent="0.3">
      <c r="A172" s="91" t="s">
        <v>200</v>
      </c>
      <c r="B172" s="65"/>
      <c r="C172" s="54">
        <f>VLOOKUP(A172,קוביות!A:X,24,0)</f>
        <v>3019</v>
      </c>
      <c r="D172" s="54">
        <v>3019</v>
      </c>
      <c r="E172" s="80">
        <v>12</v>
      </c>
      <c r="F172" s="57"/>
      <c r="G172" s="57"/>
      <c r="H172" s="54"/>
      <c r="I172" s="66">
        <f>VLOOKUP(A172,'[1]תכנית ייצור'!$B:$H,7,0)</f>
        <v>46265</v>
      </c>
      <c r="J172" s="66">
        <f t="shared" si="9"/>
        <v>46271</v>
      </c>
      <c r="K172" s="66">
        <f t="shared" si="10"/>
        <v>46287</v>
      </c>
      <c r="L172" s="67"/>
      <c r="M172" s="68">
        <v>0</v>
      </c>
      <c r="N172" s="74"/>
      <c r="O172" s="61">
        <f t="shared" si="7"/>
        <v>46290</v>
      </c>
      <c r="P172" s="25">
        <f>VLOOKUP(A172,'הזמנות פתוחות'!A:D,4,0)</f>
        <v>46275</v>
      </c>
      <c r="Q172" s="126"/>
      <c r="R172" s="63">
        <v>0</v>
      </c>
    </row>
    <row r="173" spans="1:18" x14ac:dyDescent="0.3">
      <c r="A173" s="91" t="s">
        <v>212</v>
      </c>
      <c r="B173" s="65"/>
      <c r="C173" s="54">
        <f>VLOOKUP(A173,קוביות!A:X,24,0)</f>
        <v>3019</v>
      </c>
      <c r="D173" s="54">
        <v>3019</v>
      </c>
      <c r="E173" s="80">
        <v>12</v>
      </c>
      <c r="F173" s="57"/>
      <c r="G173" s="57"/>
      <c r="H173" s="54"/>
      <c r="I173" s="66">
        <f>VLOOKUP(A173,'[1]תכנית ייצור'!$B:$H,7,0)</f>
        <v>46290</v>
      </c>
      <c r="J173" s="66">
        <f t="shared" si="9"/>
        <v>46296</v>
      </c>
      <c r="K173" s="66">
        <f t="shared" si="10"/>
        <v>46312</v>
      </c>
      <c r="L173" s="67"/>
      <c r="M173" s="68">
        <v>0</v>
      </c>
      <c r="N173" s="74"/>
      <c r="O173" s="61">
        <f t="shared" si="7"/>
        <v>46315</v>
      </c>
      <c r="P173" s="25">
        <f>VLOOKUP(A173,'הזמנות פתוחות'!A:D,4,0)</f>
        <v>46391</v>
      </c>
      <c r="Q173" s="126"/>
      <c r="R173" s="63">
        <v>0</v>
      </c>
    </row>
    <row r="174" spans="1:18" x14ac:dyDescent="0.3">
      <c r="A174" s="36" t="s">
        <v>213</v>
      </c>
      <c r="B174" s="37"/>
      <c r="C174" s="37">
        <f>VLOOKUP(A174,קוביות!A:X,24,0)</f>
        <v>3019</v>
      </c>
      <c r="D174" s="37">
        <v>3019</v>
      </c>
      <c r="E174" s="39">
        <v>54</v>
      </c>
      <c r="F174" s="37"/>
      <c r="G174" s="37"/>
      <c r="H174" s="37"/>
      <c r="I174" s="51" t="s">
        <v>382</v>
      </c>
      <c r="J174" s="51">
        <v>46219</v>
      </c>
      <c r="K174" s="40">
        <v>46254</v>
      </c>
      <c r="L174" s="47"/>
      <c r="M174" s="48" t="s">
        <v>400</v>
      </c>
      <c r="N174" s="37"/>
      <c r="O174" s="61">
        <v>46261</v>
      </c>
      <c r="P174" s="25">
        <f>VLOOKUP(A174,'הזמנות פתוחות'!A:D,4,0)</f>
        <v>46310</v>
      </c>
      <c r="Q174" s="126"/>
      <c r="R174" s="63" t="s">
        <v>831</v>
      </c>
    </row>
    <row r="175" spans="1:18" ht="21.6" customHeight="1" x14ac:dyDescent="0.3">
      <c r="A175" s="91" t="s">
        <v>228</v>
      </c>
      <c r="B175" s="65"/>
      <c r="C175" s="54">
        <f>VLOOKUP(A175,קוביות!A:X,24,0)</f>
        <v>3019</v>
      </c>
      <c r="D175" s="54">
        <v>3019</v>
      </c>
      <c r="E175" s="80">
        <v>12</v>
      </c>
      <c r="F175" s="57"/>
      <c r="G175" s="57"/>
      <c r="H175" s="54"/>
      <c r="I175" s="66">
        <f>VLOOKUP(A175,'[1]תכנית ייצור'!$B:$H,7,0)</f>
        <v>46443</v>
      </c>
      <c r="J175" s="66">
        <f t="shared" si="9"/>
        <v>46449</v>
      </c>
      <c r="K175" s="66">
        <f t="shared" si="10"/>
        <v>46465</v>
      </c>
      <c r="L175" s="67"/>
      <c r="M175" s="68">
        <v>0</v>
      </c>
      <c r="N175" s="74"/>
      <c r="O175" s="61">
        <f t="shared" si="7"/>
        <v>46468</v>
      </c>
      <c r="P175" s="25">
        <f>VLOOKUP(A175,'הזמנות פתוחות'!A:D,4,0)</f>
        <v>46434</v>
      </c>
      <c r="Q175" s="126"/>
      <c r="R175" s="63">
        <v>0</v>
      </c>
    </row>
    <row r="176" spans="1:18" ht="30.6" customHeight="1" x14ac:dyDescent="0.3">
      <c r="A176" s="91" t="s">
        <v>231</v>
      </c>
      <c r="B176" s="91"/>
      <c r="C176" s="54">
        <f>VLOOKUP(A176,קוביות!A:X,24,0)</f>
        <v>3019</v>
      </c>
      <c r="D176" s="54">
        <v>3019</v>
      </c>
      <c r="E176" s="80">
        <v>12</v>
      </c>
      <c r="F176" s="57"/>
      <c r="G176" s="57"/>
      <c r="H176" s="54"/>
      <c r="I176" s="63" t="s">
        <v>413</v>
      </c>
      <c r="J176" s="81"/>
      <c r="K176" s="66"/>
      <c r="L176" s="67"/>
      <c r="M176" s="68">
        <v>0</v>
      </c>
      <c r="N176" s="74"/>
      <c r="O176" s="61" t="s">
        <v>414</v>
      </c>
      <c r="P176" s="25">
        <f>VLOOKUP(A176,'הזמנות פתוחות'!A:D,4,0)</f>
        <v>46447</v>
      </c>
      <c r="Q176" s="126"/>
      <c r="R176" s="63" t="s">
        <v>413</v>
      </c>
    </row>
    <row r="177" spans="1:18" x14ac:dyDescent="0.3">
      <c r="A177" s="91" t="s">
        <v>247</v>
      </c>
      <c r="B177" s="91"/>
      <c r="C177" s="54">
        <f>VLOOKUP(A177,קוביות!A:X,24,0)</f>
        <v>3020</v>
      </c>
      <c r="D177" s="54">
        <v>3020</v>
      </c>
      <c r="E177" s="80">
        <v>12</v>
      </c>
      <c r="F177" s="80">
        <v>1</v>
      </c>
      <c r="G177" s="57" t="e">
        <f>#REF!+(E177/F177)</f>
        <v>#REF!</v>
      </c>
      <c r="H177" s="101"/>
      <c r="I177" s="66">
        <f>VLOOKUP(A177,'[1]תכנית ייצור'!$B:$H,7,0)</f>
        <v>46266</v>
      </c>
      <c r="J177" s="66">
        <f t="shared" ref="J177:J178" si="11">I177+6</f>
        <v>46272</v>
      </c>
      <c r="K177" s="66">
        <f t="shared" si="10"/>
        <v>46288</v>
      </c>
      <c r="L177" s="67"/>
      <c r="M177" s="68">
        <v>0</v>
      </c>
      <c r="N177" s="72"/>
      <c r="O177" s="61">
        <f t="shared" si="7"/>
        <v>46291</v>
      </c>
      <c r="P177" s="25">
        <f>VLOOKUP(A177,'הזמנות פתוחות'!A:D,4,0)</f>
        <v>46317</v>
      </c>
      <c r="Q177" s="62"/>
      <c r="R177" s="63" t="e">
        <v>#N/A</v>
      </c>
    </row>
    <row r="178" spans="1:18" x14ac:dyDescent="0.3">
      <c r="A178" s="91" t="s">
        <v>238</v>
      </c>
      <c r="B178" s="91"/>
      <c r="C178" s="54">
        <f>VLOOKUP(A178,קוביות!A:X,24,0)</f>
        <v>3020</v>
      </c>
      <c r="D178" s="54">
        <v>3020</v>
      </c>
      <c r="E178" s="55">
        <v>12</v>
      </c>
      <c r="F178" s="57"/>
      <c r="G178" s="57"/>
      <c r="H178" s="54"/>
      <c r="I178" s="66">
        <v>46030</v>
      </c>
      <c r="J178" s="66">
        <f t="shared" si="11"/>
        <v>46036</v>
      </c>
      <c r="K178" s="66">
        <f>J178+14</f>
        <v>46050</v>
      </c>
      <c r="L178" s="67"/>
      <c r="M178" s="68">
        <v>0</v>
      </c>
      <c r="N178" s="70"/>
      <c r="O178" s="61">
        <f t="shared" si="7"/>
        <v>46053</v>
      </c>
      <c r="P178" s="25">
        <v>46415</v>
      </c>
      <c r="Q178" s="71"/>
      <c r="R178" s="63">
        <v>0</v>
      </c>
    </row>
    <row r="179" spans="1:18" ht="31.5" customHeight="1" x14ac:dyDescent="0.3">
      <c r="A179" s="91" t="s">
        <v>241</v>
      </c>
      <c r="B179" s="91" t="s">
        <v>242</v>
      </c>
      <c r="C179" s="54">
        <f>VLOOKUP(A179,קוביות!A:X,24,0)</f>
        <v>3020</v>
      </c>
      <c r="D179" s="54">
        <v>3020</v>
      </c>
      <c r="E179" s="55"/>
      <c r="F179" s="57"/>
      <c r="G179" s="57"/>
      <c r="H179" s="54"/>
      <c r="I179" s="40" t="s">
        <v>382</v>
      </c>
      <c r="J179" s="40" t="s">
        <v>382</v>
      </c>
      <c r="K179" s="40" t="s">
        <v>382</v>
      </c>
      <c r="L179" s="67"/>
      <c r="M179" s="68">
        <v>0</v>
      </c>
      <c r="N179" s="74" t="s">
        <v>417</v>
      </c>
      <c r="O179" s="61">
        <v>46300</v>
      </c>
      <c r="P179" s="25">
        <v>46323</v>
      </c>
      <c r="Q179" s="71"/>
      <c r="R179" s="63" t="s">
        <v>418</v>
      </c>
    </row>
    <row r="180" spans="1:18" ht="15.6" customHeight="1" x14ac:dyDescent="0.3">
      <c r="A180" s="91" t="s">
        <v>245</v>
      </c>
      <c r="B180" s="91" t="s">
        <v>246</v>
      </c>
      <c r="C180" s="54">
        <f>VLOOKUP(A180,קוביות!A:X,24,0)</f>
        <v>3020</v>
      </c>
      <c r="D180" s="54">
        <v>3020</v>
      </c>
      <c r="E180" s="55">
        <v>12</v>
      </c>
      <c r="F180" s="80">
        <v>1</v>
      </c>
      <c r="G180" s="57" t="e">
        <f>#REF!+(E180/F180)</f>
        <v>#REF!</v>
      </c>
      <c r="H180" s="85"/>
      <c r="I180" s="66">
        <f>VLOOKUP(A180,'[1]תכנית ייצור'!$B:$H,7,0)</f>
        <v>46401</v>
      </c>
      <c r="J180" s="66">
        <f t="shared" ref="J180:J185" si="12">I180+6</f>
        <v>46407</v>
      </c>
      <c r="K180" s="66">
        <f t="shared" si="10"/>
        <v>46423</v>
      </c>
      <c r="L180" s="67"/>
      <c r="M180" s="68">
        <v>0</v>
      </c>
      <c r="N180" s="86"/>
      <c r="O180" s="61">
        <f t="shared" si="7"/>
        <v>46426</v>
      </c>
      <c r="P180" s="25">
        <f>VLOOKUP(A180,'הזמנות פתוחות'!A:D,4,0)</f>
        <v>46413</v>
      </c>
      <c r="Q180" s="62"/>
      <c r="R180" s="63">
        <v>0</v>
      </c>
    </row>
    <row r="181" spans="1:18" x14ac:dyDescent="0.3">
      <c r="A181" s="91" t="s">
        <v>243</v>
      </c>
      <c r="B181" s="91" t="s">
        <v>116</v>
      </c>
      <c r="C181" s="54">
        <f>VLOOKUP(A181,קוביות!A:X,24,0)</f>
        <v>3020</v>
      </c>
      <c r="D181" s="54">
        <v>3020</v>
      </c>
      <c r="E181" s="55">
        <v>12</v>
      </c>
      <c r="F181" s="57">
        <v>1</v>
      </c>
      <c r="G181" s="57" t="e">
        <f>#REF!+(E181/F181)</f>
        <v>#REF!</v>
      </c>
      <c r="H181" s="54"/>
      <c r="I181" s="66">
        <f>VLOOKUP(A181,'[1]תכנית ייצור'!$B:$H,7,0)</f>
        <v>46348</v>
      </c>
      <c r="J181" s="66">
        <f t="shared" si="12"/>
        <v>46354</v>
      </c>
      <c r="K181" s="66">
        <f t="shared" si="10"/>
        <v>46370</v>
      </c>
      <c r="L181" s="67" t="s">
        <v>378</v>
      </c>
      <c r="M181" s="68">
        <v>0</v>
      </c>
      <c r="N181" s="72" t="s">
        <v>378</v>
      </c>
      <c r="O181" s="61">
        <f t="shared" si="7"/>
        <v>46373</v>
      </c>
      <c r="P181" s="25">
        <f>VLOOKUP(A181,'הזמנות פתוחות'!A:D,4,0)</f>
        <v>46336</v>
      </c>
      <c r="Q181" s="62"/>
      <c r="R181" s="63">
        <v>0</v>
      </c>
    </row>
    <row r="182" spans="1:18" x14ac:dyDescent="0.3">
      <c r="A182" s="91" t="s">
        <v>240</v>
      </c>
      <c r="B182" s="91"/>
      <c r="C182" s="54">
        <f>VLOOKUP(A182,קוביות!A:X,24,0)</f>
        <v>3020</v>
      </c>
      <c r="D182" s="54">
        <v>3020</v>
      </c>
      <c r="E182" s="80">
        <v>12</v>
      </c>
      <c r="F182" s="80">
        <v>1</v>
      </c>
      <c r="G182" s="57" t="e">
        <f>#REF!+(E182/F182)</f>
        <v>#REF!</v>
      </c>
      <c r="H182" s="101"/>
      <c r="I182" s="66">
        <f>VLOOKUP(A182,'[1]תכנית ייצור'!$D:$H,5,0)</f>
        <v>46332</v>
      </c>
      <c r="J182" s="66">
        <f t="shared" si="12"/>
        <v>46338</v>
      </c>
      <c r="K182" s="66">
        <f t="shared" si="10"/>
        <v>46354</v>
      </c>
      <c r="L182" s="67"/>
      <c r="M182" s="68">
        <v>0</v>
      </c>
      <c r="N182" s="74"/>
      <c r="O182" s="61">
        <f t="shared" si="7"/>
        <v>46357</v>
      </c>
      <c r="P182" s="25">
        <f>VLOOKUP(A182,'הזמנות פתוחות'!A:D,4,0)</f>
        <v>46343</v>
      </c>
      <c r="Q182" s="62"/>
      <c r="R182" s="63">
        <v>0</v>
      </c>
    </row>
    <row r="183" spans="1:18" x14ac:dyDescent="0.3">
      <c r="A183" s="91" t="s">
        <v>222</v>
      </c>
      <c r="B183" s="91"/>
      <c r="C183" s="54">
        <f>VLOOKUP(A183,קוביות!A:X,24,0)</f>
        <v>3020</v>
      </c>
      <c r="D183" s="54">
        <v>3020</v>
      </c>
      <c r="E183" s="80">
        <v>24</v>
      </c>
      <c r="F183" s="80">
        <v>2</v>
      </c>
      <c r="G183" s="57" t="e">
        <f>#REF!+(E183/F183)</f>
        <v>#REF!</v>
      </c>
      <c r="H183" s="101"/>
      <c r="I183" s="66">
        <f>VLOOKUP(A183,'[1]תכנית ייצור'!$B:$H,7,0)</f>
        <v>46413</v>
      </c>
      <c r="J183" s="66">
        <f t="shared" si="12"/>
        <v>46419</v>
      </c>
      <c r="K183" s="66">
        <f t="shared" si="10"/>
        <v>46435</v>
      </c>
      <c r="L183" s="67"/>
      <c r="M183" s="68">
        <v>0</v>
      </c>
      <c r="N183" s="74"/>
      <c r="O183" s="61">
        <f t="shared" si="7"/>
        <v>46438</v>
      </c>
      <c r="P183" s="25">
        <f>VLOOKUP(A183,'הזמנות פתוחות'!A:D,4,0)</f>
        <v>46398</v>
      </c>
      <c r="Q183" s="62"/>
      <c r="R183" s="63">
        <v>0</v>
      </c>
    </row>
    <row r="184" spans="1:18" x14ac:dyDescent="0.3">
      <c r="A184" s="91" t="s">
        <v>244</v>
      </c>
      <c r="B184" s="141"/>
      <c r="C184" s="54">
        <f>VLOOKUP(A184,קוביות!A:X,24,0)</f>
        <v>3020</v>
      </c>
      <c r="D184" s="54">
        <v>3020</v>
      </c>
      <c r="E184" s="80">
        <v>12</v>
      </c>
      <c r="F184" s="80">
        <v>1</v>
      </c>
      <c r="G184" s="57" t="e">
        <f>#REF!+(E184/F184)</f>
        <v>#REF!</v>
      </c>
      <c r="H184" s="98"/>
      <c r="I184" s="66">
        <f>VLOOKUP(A184,'[1]תכנית ייצור'!$D:$H,5,0)</f>
        <v>46385</v>
      </c>
      <c r="J184" s="66">
        <f t="shared" si="12"/>
        <v>46391</v>
      </c>
      <c r="K184" s="66">
        <f t="shared" si="10"/>
        <v>46407</v>
      </c>
      <c r="L184" s="67"/>
      <c r="M184" s="68">
        <v>0</v>
      </c>
      <c r="N184" s="74" t="s">
        <v>380</v>
      </c>
      <c r="O184" s="61">
        <f t="shared" si="7"/>
        <v>46410</v>
      </c>
      <c r="P184" s="25">
        <f>VLOOKUP(A184,'הזמנות פתוחות'!A:D,4,0)</f>
        <v>46401</v>
      </c>
      <c r="Q184" s="62"/>
      <c r="R184" s="63">
        <v>0</v>
      </c>
    </row>
    <row r="185" spans="1:18" x14ac:dyDescent="0.3">
      <c r="A185" s="91" t="s">
        <v>232</v>
      </c>
      <c r="B185" s="99" t="s">
        <v>233</v>
      </c>
      <c r="C185" s="54">
        <f>VLOOKUP(A185,קוביות!A:X,24,0)</f>
        <v>3020</v>
      </c>
      <c r="D185" s="54">
        <v>3020</v>
      </c>
      <c r="E185" s="80">
        <v>12</v>
      </c>
      <c r="F185" s="80">
        <v>1</v>
      </c>
      <c r="G185" s="57" t="e">
        <f>#REF!+(E185/F185)</f>
        <v>#REF!</v>
      </c>
      <c r="H185" s="101"/>
      <c r="I185" s="66">
        <v>46352</v>
      </c>
      <c r="J185" s="66">
        <f t="shared" si="12"/>
        <v>46358</v>
      </c>
      <c r="K185" s="66">
        <f t="shared" si="10"/>
        <v>46374</v>
      </c>
      <c r="L185" s="67"/>
      <c r="M185" s="68">
        <v>0</v>
      </c>
      <c r="N185" s="74" t="s">
        <v>380</v>
      </c>
      <c r="O185" s="61">
        <f t="shared" si="7"/>
        <v>46377</v>
      </c>
      <c r="P185" s="25">
        <v>46376</v>
      </c>
      <c r="Q185" s="62"/>
      <c r="R185" s="63">
        <v>0</v>
      </c>
    </row>
    <row r="186" spans="1:18" x14ac:dyDescent="0.3">
      <c r="A186" s="64" t="s">
        <v>255</v>
      </c>
      <c r="B186" s="65" t="s">
        <v>256</v>
      </c>
      <c r="C186" s="54">
        <f>VLOOKUP(A186,קוביות!A:X,24,0)</f>
        <v>3021</v>
      </c>
      <c r="D186" s="54">
        <v>3021</v>
      </c>
      <c r="E186" s="55"/>
      <c r="F186" s="57"/>
      <c r="G186" s="57"/>
      <c r="H186" s="54"/>
      <c r="I186" s="40" t="s">
        <v>382</v>
      </c>
      <c r="J186" s="40" t="s">
        <v>382</v>
      </c>
      <c r="K186" s="66"/>
      <c r="L186" s="67"/>
      <c r="M186" s="68">
        <v>0</v>
      </c>
      <c r="N186" s="86"/>
      <c r="O186" s="61">
        <v>46265</v>
      </c>
      <c r="P186" s="25">
        <f>VLOOKUP(A186,'הזמנות פתוחות'!A:D,4,0)</f>
        <v>46235</v>
      </c>
      <c r="Q186" s="62"/>
      <c r="R186" s="63" t="s">
        <v>420</v>
      </c>
    </row>
    <row r="187" spans="1:18" x14ac:dyDescent="0.3">
      <c r="A187" s="64" t="s">
        <v>248</v>
      </c>
      <c r="B187" s="65" t="s">
        <v>422</v>
      </c>
      <c r="C187" s="54">
        <f>VLOOKUP(A187,קוביות!A:X,24,0)</f>
        <v>3021</v>
      </c>
      <c r="D187" s="54">
        <v>3021</v>
      </c>
      <c r="E187" s="55"/>
      <c r="F187" s="57"/>
      <c r="G187" s="57"/>
      <c r="H187" s="54"/>
      <c r="I187" s="66">
        <v>46263</v>
      </c>
      <c r="J187" s="66">
        <f>I187+8</f>
        <v>46271</v>
      </c>
      <c r="K187" s="66">
        <f>J187+18</f>
        <v>46289</v>
      </c>
      <c r="L187" s="67"/>
      <c r="M187" s="68">
        <v>0</v>
      </c>
      <c r="N187" s="74"/>
      <c r="O187" s="61">
        <f>K187+6</f>
        <v>46295</v>
      </c>
      <c r="P187" s="25">
        <v>46295</v>
      </c>
      <c r="Q187" s="62"/>
      <c r="R187" s="63">
        <v>0</v>
      </c>
    </row>
    <row r="188" spans="1:18" x14ac:dyDescent="0.3">
      <c r="A188" s="91" t="s">
        <v>254</v>
      </c>
      <c r="B188" s="99"/>
      <c r="C188" s="54">
        <f>VLOOKUP(A188,קוביות!A:X,24,0)</f>
        <v>3021</v>
      </c>
      <c r="D188" s="54">
        <v>3021</v>
      </c>
      <c r="E188" s="80">
        <v>12</v>
      </c>
      <c r="F188" s="80">
        <v>1</v>
      </c>
      <c r="G188" s="57" t="e">
        <f>#REF!+(E188/F188)</f>
        <v>#REF!</v>
      </c>
      <c r="H188" s="101"/>
      <c r="I188" s="66">
        <f>VLOOKUP(A188,'[1]תכנית ייצור'!$B:$H,7,0)</f>
        <v>46420</v>
      </c>
      <c r="J188" s="66">
        <f t="shared" ref="J188:J190" si="13">I188+6</f>
        <v>46426</v>
      </c>
      <c r="K188" s="66">
        <f t="shared" si="10"/>
        <v>46442</v>
      </c>
      <c r="L188" s="67"/>
      <c r="M188" s="68">
        <v>0</v>
      </c>
      <c r="N188" s="74"/>
      <c r="O188" s="61">
        <f t="shared" ref="O188:O234" si="14">K188+3</f>
        <v>46445</v>
      </c>
      <c r="P188" s="25">
        <f>VLOOKUP(A188,'הזמנות פתוחות'!A:D,4,0)</f>
        <v>46402</v>
      </c>
      <c r="Q188" s="62"/>
      <c r="R188" s="63">
        <v>0</v>
      </c>
    </row>
    <row r="189" spans="1:18" x14ac:dyDescent="0.3">
      <c r="A189" s="64" t="s">
        <v>253</v>
      </c>
      <c r="B189" s="99"/>
      <c r="C189" s="54">
        <f>VLOOKUP(A189,קוביות!A:X,24,0)</f>
        <v>3021</v>
      </c>
      <c r="D189" s="54">
        <v>3021</v>
      </c>
      <c r="E189" s="80">
        <v>12</v>
      </c>
      <c r="F189" s="80">
        <v>1</v>
      </c>
      <c r="G189" s="57" t="e">
        <f>#REF!+(E189/F189)</f>
        <v>#REF!</v>
      </c>
      <c r="H189" s="101"/>
      <c r="I189" s="87">
        <v>46383</v>
      </c>
      <c r="J189" s="66">
        <f t="shared" si="13"/>
        <v>46389</v>
      </c>
      <c r="K189" s="66">
        <f t="shared" si="10"/>
        <v>46405</v>
      </c>
      <c r="L189" s="67"/>
      <c r="M189" s="68">
        <v>0</v>
      </c>
      <c r="N189" s="74" t="s">
        <v>380</v>
      </c>
      <c r="O189" s="61">
        <f t="shared" si="14"/>
        <v>46408</v>
      </c>
      <c r="P189" s="25">
        <f>VLOOKUP(A189,'הזמנות פתוחות'!A:D,4,0)</f>
        <v>46411</v>
      </c>
      <c r="Q189" s="62"/>
      <c r="R189" s="63">
        <v>0</v>
      </c>
    </row>
    <row r="190" spans="1:18" x14ac:dyDescent="0.3">
      <c r="A190" s="64" t="s">
        <v>249</v>
      </c>
      <c r="B190" s="99"/>
      <c r="C190" s="54">
        <f>VLOOKUP(A190,קוביות!A:X,24,0)</f>
        <v>3021</v>
      </c>
      <c r="D190" s="54">
        <v>3021</v>
      </c>
      <c r="E190" s="80">
        <v>12</v>
      </c>
      <c r="F190" s="80">
        <v>1</v>
      </c>
      <c r="G190" s="57" t="e">
        <f>#REF!+(E190/F190)</f>
        <v>#REF!</v>
      </c>
      <c r="H190" s="101"/>
      <c r="I190" s="66">
        <v>46332</v>
      </c>
      <c r="J190" s="66">
        <f t="shared" si="13"/>
        <v>46338</v>
      </c>
      <c r="K190" s="66">
        <f t="shared" si="10"/>
        <v>46354</v>
      </c>
      <c r="L190" s="67"/>
      <c r="M190" s="68">
        <v>0</v>
      </c>
      <c r="N190" s="74" t="s">
        <v>380</v>
      </c>
      <c r="O190" s="61">
        <f t="shared" si="14"/>
        <v>46357</v>
      </c>
      <c r="P190" s="25">
        <f>VLOOKUP(A190,'הזמנות פתוחות'!A:D,4,0)</f>
        <v>46368</v>
      </c>
      <c r="Q190" s="62"/>
      <c r="R190" s="63">
        <v>0</v>
      </c>
    </row>
    <row r="191" spans="1:18" x14ac:dyDescent="0.3">
      <c r="A191" s="64" t="s">
        <v>264</v>
      </c>
      <c r="B191" s="65" t="s">
        <v>265</v>
      </c>
      <c r="C191" s="54">
        <f>VLOOKUP(A191,קוביות!A:X,24,0)</f>
        <v>3022</v>
      </c>
      <c r="D191" s="54">
        <v>3022</v>
      </c>
      <c r="E191" s="55"/>
      <c r="F191" s="57"/>
      <c r="G191" s="57"/>
      <c r="H191" s="54"/>
      <c r="I191" s="40" t="s">
        <v>382</v>
      </c>
      <c r="J191" s="40" t="s">
        <v>382</v>
      </c>
      <c r="K191" s="40" t="s">
        <v>382</v>
      </c>
      <c r="L191" s="47"/>
      <c r="M191" s="48">
        <v>0</v>
      </c>
      <c r="N191" s="37"/>
      <c r="O191" s="61">
        <v>46315</v>
      </c>
      <c r="P191" s="25">
        <f>VLOOKUP(A191,'הזמנות פתוחות'!A:D,4,0)</f>
        <v>46355</v>
      </c>
      <c r="Q191" s="71"/>
      <c r="R191" s="63" t="s">
        <v>418</v>
      </c>
    </row>
    <row r="192" spans="1:18" x14ac:dyDescent="0.3">
      <c r="A192" s="64" t="s">
        <v>259</v>
      </c>
      <c r="B192" s="65" t="s">
        <v>260</v>
      </c>
      <c r="C192" s="54">
        <f>VLOOKUP(A192,קוביות!A:X,24,0)</f>
        <v>3022</v>
      </c>
      <c r="D192" s="54">
        <v>3022</v>
      </c>
      <c r="E192" s="80">
        <v>12</v>
      </c>
      <c r="F192" s="80">
        <v>1</v>
      </c>
      <c r="G192" s="57" t="e">
        <f>#REF!+(E192/F192)</f>
        <v>#REF!</v>
      </c>
      <c r="H192" s="85"/>
      <c r="I192" s="66">
        <v>46352</v>
      </c>
      <c r="J192" s="66">
        <f>I192+8</f>
        <v>46360</v>
      </c>
      <c r="K192" s="66">
        <f>J192+14</f>
        <v>46374</v>
      </c>
      <c r="L192" s="67"/>
      <c r="M192" s="68">
        <v>0</v>
      </c>
      <c r="N192" s="74" t="s">
        <v>380</v>
      </c>
      <c r="O192" s="61">
        <f t="shared" si="14"/>
        <v>46377</v>
      </c>
      <c r="P192" s="25">
        <v>46386</v>
      </c>
      <c r="Q192" s="62"/>
      <c r="R192" s="63">
        <v>0</v>
      </c>
    </row>
    <row r="193" spans="1:37" x14ac:dyDescent="0.3">
      <c r="A193" s="91" t="s">
        <v>239</v>
      </c>
      <c r="B193" s="18"/>
      <c r="C193" s="54">
        <f>VLOOKUP(A193,קוביות!A:X,24,0)</f>
        <v>3022</v>
      </c>
      <c r="D193" s="54">
        <v>3022</v>
      </c>
      <c r="E193" s="80">
        <v>12</v>
      </c>
      <c r="F193" s="18"/>
      <c r="G193" s="57" t="e">
        <f>#REF!+(E193/F193)</f>
        <v>#REF!</v>
      </c>
      <c r="H193" s="18"/>
      <c r="I193" s="66">
        <f>VLOOKUP(A193,'[1]תכנית ייצור'!$B:$H,7,0)</f>
        <v>46363</v>
      </c>
      <c r="J193" s="66">
        <f t="shared" ref="J193:J205" si="15">I193+6</f>
        <v>46369</v>
      </c>
      <c r="K193" s="66">
        <f t="shared" si="10"/>
        <v>46385</v>
      </c>
      <c r="L193" s="67"/>
      <c r="M193" s="68">
        <v>0</v>
      </c>
      <c r="N193" s="72"/>
      <c r="O193" s="61">
        <f t="shared" si="14"/>
        <v>46388</v>
      </c>
      <c r="P193" s="25">
        <f>VLOOKUP(A193,'הזמנות פתוחות'!A:D,4,0)</f>
        <v>46462</v>
      </c>
      <c r="Q193" s="62"/>
      <c r="R193" s="63">
        <v>0</v>
      </c>
    </row>
    <row r="194" spans="1:37" x14ac:dyDescent="0.3">
      <c r="A194" s="91" t="s">
        <v>262</v>
      </c>
      <c r="B194" s="91" t="s">
        <v>263</v>
      </c>
      <c r="C194" s="54">
        <f>VLOOKUP(A194,קוביות!A:X,24,0)</f>
        <v>3022</v>
      </c>
      <c r="D194" s="54">
        <v>3022</v>
      </c>
      <c r="E194" s="80">
        <v>12</v>
      </c>
      <c r="F194" s="80">
        <v>1</v>
      </c>
      <c r="G194" s="57" t="e">
        <f>#REF!+(E194/F194)</f>
        <v>#REF!</v>
      </c>
      <c r="H194" s="54"/>
      <c r="I194" s="66">
        <f>VLOOKUP(A194,'[1]תכנית ייצור'!$D:$H,5,0)</f>
        <v>46273</v>
      </c>
      <c r="J194" s="66">
        <f t="shared" si="15"/>
        <v>46279</v>
      </c>
      <c r="K194" s="66">
        <f t="shared" si="10"/>
        <v>46295</v>
      </c>
      <c r="L194" s="67"/>
      <c r="M194" s="68">
        <v>0</v>
      </c>
      <c r="N194" s="74"/>
      <c r="O194" s="61">
        <f t="shared" si="14"/>
        <v>46298</v>
      </c>
      <c r="P194" s="25">
        <f>VLOOKUP(A194,'הזמנות פתוחות'!A:D,4,0)</f>
        <v>46285</v>
      </c>
      <c r="Q194" s="62"/>
      <c r="R194" s="63">
        <v>0</v>
      </c>
    </row>
    <row r="195" spans="1:37" x14ac:dyDescent="0.3">
      <c r="A195" s="64" t="s">
        <v>270</v>
      </c>
      <c r="B195" s="65"/>
      <c r="C195" s="54">
        <f>VLOOKUP(A195,קוביות!A:X,24,0)</f>
        <v>3023</v>
      </c>
      <c r="D195" s="54">
        <v>3023</v>
      </c>
      <c r="E195" s="55">
        <v>12</v>
      </c>
      <c r="F195" s="80">
        <v>1</v>
      </c>
      <c r="G195" s="57" t="e">
        <f>#REF!+(E195/F195)</f>
        <v>#REF!</v>
      </c>
      <c r="H195" s="54"/>
      <c r="I195" s="66">
        <v>46415</v>
      </c>
      <c r="J195" s="66">
        <f t="shared" si="15"/>
        <v>46421</v>
      </c>
      <c r="K195" s="66">
        <f t="shared" si="10"/>
        <v>46437</v>
      </c>
      <c r="L195" s="67"/>
      <c r="M195" s="68">
        <v>0</v>
      </c>
      <c r="N195" s="74"/>
      <c r="O195" s="61">
        <f t="shared" si="14"/>
        <v>46440</v>
      </c>
      <c r="P195" s="25">
        <f>VLOOKUP(A195,'הזמנות פתוחות'!A:D,4,0)</f>
        <v>46430</v>
      </c>
      <c r="Q195" s="62"/>
      <c r="R195" s="63" t="e">
        <v>#N/A</v>
      </c>
    </row>
    <row r="196" spans="1:37" x14ac:dyDescent="0.3">
      <c r="A196" s="64" t="s">
        <v>271</v>
      </c>
      <c r="B196" s="65"/>
      <c r="C196" s="54">
        <f>VLOOKUP(A196,קוביות!A:X,24,0)</f>
        <v>3023</v>
      </c>
      <c r="D196" s="54">
        <v>3023</v>
      </c>
      <c r="E196" s="55">
        <v>12</v>
      </c>
      <c r="F196" s="80">
        <v>1</v>
      </c>
      <c r="G196" s="57" t="e">
        <f>#REF!+(E196/F196)</f>
        <v>#REF!</v>
      </c>
      <c r="H196" s="54"/>
      <c r="I196" s="66">
        <v>46422</v>
      </c>
      <c r="J196" s="66">
        <f t="shared" si="15"/>
        <v>46428</v>
      </c>
      <c r="K196" s="66">
        <f>J196+15</f>
        <v>46443</v>
      </c>
      <c r="L196" s="67"/>
      <c r="M196" s="68">
        <v>0</v>
      </c>
      <c r="N196" s="74"/>
      <c r="O196" s="61">
        <f t="shared" si="14"/>
        <v>46446</v>
      </c>
      <c r="P196" s="25">
        <f>VLOOKUP(A196,'הזמנות פתוחות'!A:D,4,0)</f>
        <v>46436</v>
      </c>
      <c r="Q196" s="62"/>
      <c r="R196" s="63" t="e">
        <v>#N/A</v>
      </c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98"/>
      <c r="AF196" s="98"/>
      <c r="AG196" s="98"/>
      <c r="AH196" s="98"/>
      <c r="AI196" s="98"/>
      <c r="AJ196" s="98"/>
      <c r="AK196" s="98"/>
    </row>
    <row r="197" spans="1:37" x14ac:dyDescent="0.3">
      <c r="A197" s="64" t="s">
        <v>277</v>
      </c>
      <c r="B197" s="65" t="s">
        <v>278</v>
      </c>
      <c r="C197" s="54">
        <f>VLOOKUP(A197,קוביות!A:X,24,0)</f>
        <v>3023</v>
      </c>
      <c r="D197" s="54">
        <v>3023</v>
      </c>
      <c r="E197" s="55"/>
      <c r="F197" s="57"/>
      <c r="G197" s="57"/>
      <c r="H197" s="54"/>
      <c r="I197" s="66">
        <f>VLOOKUP(A197,'[1]תכנית ייצור'!$D:$H,5,0)</f>
        <v>46289</v>
      </c>
      <c r="J197" s="66">
        <f t="shared" si="15"/>
        <v>46295</v>
      </c>
      <c r="K197" s="66">
        <f t="shared" si="10"/>
        <v>46311</v>
      </c>
      <c r="L197" s="67"/>
      <c r="M197" s="68">
        <v>0</v>
      </c>
      <c r="N197" s="70"/>
      <c r="O197" s="61">
        <f t="shared" si="14"/>
        <v>46314</v>
      </c>
      <c r="P197" s="25">
        <f>VLOOKUP(A197,'הזמנות פתוחות'!A:D,4,0)</f>
        <v>46322</v>
      </c>
      <c r="Q197" s="62"/>
      <c r="R197" s="63">
        <v>0</v>
      </c>
    </row>
    <row r="198" spans="1:37" ht="46.8" x14ac:dyDescent="0.3">
      <c r="A198" s="64" t="s">
        <v>281</v>
      </c>
      <c r="B198" s="65" t="s">
        <v>142</v>
      </c>
      <c r="C198" s="54">
        <f>VLOOKUP(A198,קוביות!A:X,24,0)</f>
        <v>3023</v>
      </c>
      <c r="D198" s="54">
        <v>3023</v>
      </c>
      <c r="E198" s="55">
        <v>39</v>
      </c>
      <c r="F198" s="57">
        <v>1</v>
      </c>
      <c r="G198" s="57" t="e">
        <f>#REF!+(E198/F198)</f>
        <v>#REF!</v>
      </c>
      <c r="H198" s="54"/>
      <c r="I198" s="40" t="s">
        <v>382</v>
      </c>
      <c r="J198" s="81"/>
      <c r="K198" s="66"/>
      <c r="L198" s="67"/>
      <c r="M198" s="68" t="s">
        <v>403</v>
      </c>
      <c r="N198" s="49" t="s">
        <v>378</v>
      </c>
      <c r="O198" s="61" t="s">
        <v>425</v>
      </c>
      <c r="P198" s="25">
        <f>VLOOKUP(A198,'הזמנות פתוחות'!A:D,4,0)</f>
        <v>46321</v>
      </c>
      <c r="Q198" s="62"/>
      <c r="R198" s="63"/>
    </row>
    <row r="199" spans="1:37" x14ac:dyDescent="0.3">
      <c r="A199" s="91" t="s">
        <v>128</v>
      </c>
      <c r="B199" s="99"/>
      <c r="C199" s="54">
        <f>VLOOKUP(A199,קוביות!A:X,24,0)</f>
        <v>3023</v>
      </c>
      <c r="D199" s="54">
        <v>3023</v>
      </c>
      <c r="E199" s="80">
        <v>12</v>
      </c>
      <c r="F199" s="80">
        <v>1</v>
      </c>
      <c r="G199" s="57" t="e">
        <f>#REF!+(E199/F199)</f>
        <v>#REF!</v>
      </c>
      <c r="H199" s="101"/>
      <c r="I199" s="66">
        <f>VLOOKUP(A199,'[1]תכנית ייצור'!$B:$H,7,0)</f>
        <v>46278</v>
      </c>
      <c r="J199" s="66">
        <f t="shared" si="15"/>
        <v>46284</v>
      </c>
      <c r="K199" s="66">
        <f t="shared" ref="K199:K205" si="16">J199+16</f>
        <v>46300</v>
      </c>
      <c r="L199" s="67"/>
      <c r="M199" s="68">
        <v>0</v>
      </c>
      <c r="N199" s="74"/>
      <c r="O199" s="61">
        <f t="shared" si="14"/>
        <v>46303</v>
      </c>
      <c r="P199" s="25">
        <f>VLOOKUP(A199,'הזמנות פתוחות'!A:D,4,0)</f>
        <v>46363</v>
      </c>
      <c r="Q199" s="62"/>
      <c r="R199" s="63">
        <v>0</v>
      </c>
    </row>
    <row r="200" spans="1:37" x14ac:dyDescent="0.3">
      <c r="A200" s="91" t="s">
        <v>272</v>
      </c>
      <c r="B200" s="99"/>
      <c r="C200" s="54">
        <f>VLOOKUP(A200,קוביות!A:X,24,0)</f>
        <v>3023</v>
      </c>
      <c r="D200" s="54">
        <v>3023</v>
      </c>
      <c r="E200" s="80">
        <v>108</v>
      </c>
      <c r="F200" s="80">
        <v>8</v>
      </c>
      <c r="G200" s="57" t="e">
        <f>#REF!+(E200/F200)</f>
        <v>#REF!</v>
      </c>
      <c r="H200" s="101"/>
      <c r="I200" s="66">
        <v>46344</v>
      </c>
      <c r="J200" s="66">
        <f t="shared" si="15"/>
        <v>46350</v>
      </c>
      <c r="K200" s="66">
        <f t="shared" si="16"/>
        <v>46366</v>
      </c>
      <c r="L200" s="67"/>
      <c r="M200" s="68">
        <v>0</v>
      </c>
      <c r="N200" s="74"/>
      <c r="O200" s="61">
        <f t="shared" si="14"/>
        <v>46369</v>
      </c>
      <c r="P200" s="25">
        <f>VLOOKUP(A200,'הזמנות פתוחות'!A:D,4,0)</f>
        <v>46373</v>
      </c>
      <c r="Q200" s="62"/>
      <c r="R200" s="63">
        <v>0</v>
      </c>
    </row>
    <row r="201" spans="1:37" s="98" customFormat="1" x14ac:dyDescent="0.3">
      <c r="A201" s="91" t="s">
        <v>276</v>
      </c>
      <c r="B201" s="109"/>
      <c r="C201" s="54">
        <f>VLOOKUP(A201,קוביות!A:X,24,0)</f>
        <v>3023</v>
      </c>
      <c r="D201" s="54">
        <v>3023</v>
      </c>
      <c r="E201" s="80">
        <v>12</v>
      </c>
      <c r="F201" s="80">
        <v>1</v>
      </c>
      <c r="G201" s="57" t="e">
        <f>#REF!+(E201/F201)</f>
        <v>#REF!</v>
      </c>
      <c r="H201" s="21"/>
      <c r="I201" s="66">
        <f>VLOOKUP(A201,'[1]תכנית ייצור'!$B:$H,7,0)</f>
        <v>46366</v>
      </c>
      <c r="J201" s="66">
        <f t="shared" si="15"/>
        <v>46372</v>
      </c>
      <c r="K201" s="66">
        <f t="shared" si="16"/>
        <v>46388</v>
      </c>
      <c r="L201" s="67"/>
      <c r="M201" s="68">
        <v>0</v>
      </c>
      <c r="N201" s="74"/>
      <c r="O201" s="61">
        <f t="shared" si="14"/>
        <v>46391</v>
      </c>
      <c r="P201" s="25">
        <f>VLOOKUP(A201,'הזמנות פתוחות'!A:D,4,0)</f>
        <v>46356</v>
      </c>
      <c r="Q201" s="62"/>
      <c r="R201" s="63">
        <v>0</v>
      </c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</row>
    <row r="202" spans="1:37" x14ac:dyDescent="0.3">
      <c r="A202" s="91" t="s">
        <v>279</v>
      </c>
      <c r="B202" s="99"/>
      <c r="C202" s="54">
        <f>VLOOKUP(A202,קוביות!A:X,24,0)</f>
        <v>3023</v>
      </c>
      <c r="D202" s="54">
        <v>3023</v>
      </c>
      <c r="E202" s="80">
        <v>12</v>
      </c>
      <c r="F202" s="80">
        <v>1</v>
      </c>
      <c r="G202" s="57" t="e">
        <f>#REF!+(E202/F202)</f>
        <v>#REF!</v>
      </c>
      <c r="H202" s="101"/>
      <c r="I202" s="66">
        <f>VLOOKUP(A202,'[1]תכנית ייצור'!$B:$H,7,0)</f>
        <v>46343</v>
      </c>
      <c r="J202" s="66">
        <f t="shared" si="15"/>
        <v>46349</v>
      </c>
      <c r="K202" s="66">
        <f t="shared" si="16"/>
        <v>46365</v>
      </c>
      <c r="L202" s="67"/>
      <c r="M202" s="68">
        <v>0</v>
      </c>
      <c r="N202" s="74"/>
      <c r="O202" s="61">
        <f t="shared" si="14"/>
        <v>46368</v>
      </c>
      <c r="P202" s="25">
        <f>VLOOKUP(A202,'הזמנות פתוחות'!A:D,4,0)</f>
        <v>46349</v>
      </c>
      <c r="Q202" s="62"/>
      <c r="R202" s="63">
        <v>0</v>
      </c>
    </row>
    <row r="203" spans="1:37" x14ac:dyDescent="0.3">
      <c r="A203" s="64" t="s">
        <v>275</v>
      </c>
      <c r="B203" s="65"/>
      <c r="C203" s="54">
        <f>VLOOKUP(A203,קוביות!A:X,24,0)</f>
        <v>3023</v>
      </c>
      <c r="D203" s="54">
        <v>3023</v>
      </c>
      <c r="E203" s="80">
        <v>20</v>
      </c>
      <c r="F203" s="57"/>
      <c r="G203" s="57"/>
      <c r="H203" s="54"/>
      <c r="I203" s="66">
        <f>VLOOKUP(A203,'[1]תכנית ייצור'!$D:$H,5,0)</f>
        <v>46278</v>
      </c>
      <c r="J203" s="66">
        <f t="shared" si="15"/>
        <v>46284</v>
      </c>
      <c r="K203" s="66">
        <f t="shared" si="16"/>
        <v>46300</v>
      </c>
      <c r="L203" s="67"/>
      <c r="M203" s="68">
        <v>0</v>
      </c>
      <c r="N203" s="86"/>
      <c r="O203" s="61">
        <f t="shared" si="14"/>
        <v>46303</v>
      </c>
      <c r="P203" s="25">
        <v>46338</v>
      </c>
      <c r="Q203" s="62"/>
      <c r="R203" s="63">
        <v>0</v>
      </c>
    </row>
    <row r="204" spans="1:37" x14ac:dyDescent="0.3">
      <c r="A204" s="91" t="s">
        <v>273</v>
      </c>
      <c r="B204" s="99" t="s">
        <v>274</v>
      </c>
      <c r="C204" s="54">
        <f>VLOOKUP(A204,קוביות!A:X,24,0)</f>
        <v>3023</v>
      </c>
      <c r="D204" s="54">
        <v>3023</v>
      </c>
      <c r="E204" s="80">
        <v>12</v>
      </c>
      <c r="F204" s="80">
        <v>1</v>
      </c>
      <c r="G204" s="57" t="e">
        <f>#REF!+(E204/F204)</f>
        <v>#REF!</v>
      </c>
      <c r="H204" s="101"/>
      <c r="I204" s="66">
        <f>VLOOKUP(A204,'[1]תכנית ייצור'!$B:$H,7,0)</f>
        <v>46264</v>
      </c>
      <c r="J204" s="66">
        <f t="shared" si="15"/>
        <v>46270</v>
      </c>
      <c r="K204" s="66">
        <f t="shared" si="16"/>
        <v>46286</v>
      </c>
      <c r="L204" s="67"/>
      <c r="M204" s="68">
        <v>0</v>
      </c>
      <c r="N204" s="74"/>
      <c r="O204" s="61">
        <f t="shared" si="14"/>
        <v>46289</v>
      </c>
      <c r="P204" s="25">
        <f>VLOOKUP(A204,'הזמנות פתוחות'!A:D,4,0)</f>
        <v>46307</v>
      </c>
      <c r="Q204" s="62"/>
      <c r="R204" s="63">
        <v>0</v>
      </c>
    </row>
    <row r="205" spans="1:37" ht="16.2" customHeight="1" x14ac:dyDescent="0.3">
      <c r="A205" s="91" t="s">
        <v>282</v>
      </c>
      <c r="B205" s="99"/>
      <c r="C205" s="54">
        <f>VLOOKUP(A205,קוביות!A:X,24,0)</f>
        <v>3023</v>
      </c>
      <c r="D205" s="54">
        <v>3023</v>
      </c>
      <c r="E205" s="80">
        <v>12</v>
      </c>
      <c r="F205" s="80">
        <v>1</v>
      </c>
      <c r="G205" s="57" t="e">
        <f>#REF!+(E205/F205)</f>
        <v>#REF!</v>
      </c>
      <c r="H205" s="101"/>
      <c r="I205" s="66">
        <f>VLOOKUP(A205,'[1]תכנית ייצור'!$B:$H,7,0)</f>
        <v>46272</v>
      </c>
      <c r="J205" s="66">
        <f t="shared" si="15"/>
        <v>46278</v>
      </c>
      <c r="K205" s="66">
        <f t="shared" si="16"/>
        <v>46294</v>
      </c>
      <c r="L205" s="67"/>
      <c r="M205" s="68">
        <v>0</v>
      </c>
      <c r="N205" s="74"/>
      <c r="O205" s="61">
        <f t="shared" si="14"/>
        <v>46297</v>
      </c>
      <c r="P205" s="25">
        <f>VLOOKUP(A205,'הזמנות פתוחות'!A:D,4,0)</f>
        <v>46320</v>
      </c>
      <c r="Q205" s="62"/>
      <c r="R205" s="63">
        <v>0</v>
      </c>
    </row>
    <row r="206" spans="1:37" x14ac:dyDescent="0.3">
      <c r="A206" s="64" t="s">
        <v>308</v>
      </c>
      <c r="B206" s="99"/>
      <c r="C206" s="54">
        <f>VLOOKUP(A206,קוביות!A:X,24,0)</f>
        <v>3024</v>
      </c>
      <c r="D206" s="54">
        <v>3024</v>
      </c>
      <c r="E206" s="80">
        <v>12</v>
      </c>
      <c r="F206" s="80">
        <v>1</v>
      </c>
      <c r="G206" s="57" t="e">
        <f>#REF!+(E206/F206)</f>
        <v>#REF!</v>
      </c>
      <c r="H206" s="101"/>
      <c r="I206" s="66">
        <f>VLOOKUP(A206,'[1]תכנית ייצור'!$B:$H,7,0)</f>
        <v>46265</v>
      </c>
      <c r="J206" s="66">
        <f t="shared" ref="J206:J212" si="17">I206+6</f>
        <v>46271</v>
      </c>
      <c r="K206" s="66">
        <f t="shared" ref="K206:K256" si="18">J206+16</f>
        <v>46287</v>
      </c>
      <c r="L206" s="67"/>
      <c r="M206" s="68">
        <v>0</v>
      </c>
      <c r="N206" s="74"/>
      <c r="O206" s="61">
        <f t="shared" si="14"/>
        <v>46290</v>
      </c>
      <c r="P206" s="25">
        <f>VLOOKUP(A206,'הזמנות פתוחות'!A:D,4,0)</f>
        <v>46315</v>
      </c>
      <c r="Q206" s="62"/>
      <c r="R206" s="63">
        <v>0</v>
      </c>
    </row>
    <row r="207" spans="1:37" x14ac:dyDescent="0.3">
      <c r="A207" s="64" t="s">
        <v>291</v>
      </c>
      <c r="B207" s="65"/>
      <c r="C207" s="54">
        <f>VLOOKUP(A207,קוביות!A:X,24,0)</f>
        <v>3024</v>
      </c>
      <c r="D207" s="54">
        <v>3024</v>
      </c>
      <c r="E207" s="80">
        <v>12</v>
      </c>
      <c r="F207" s="80">
        <v>1</v>
      </c>
      <c r="G207" s="57" t="e">
        <f>#REF!+(E207/F207)</f>
        <v>#REF!</v>
      </c>
      <c r="H207" s="54"/>
      <c r="I207" s="66">
        <f>VLOOKUP(A207,'[1]תכנית ייצור'!$B:$H,7,0)</f>
        <v>46341</v>
      </c>
      <c r="J207" s="66">
        <f t="shared" si="17"/>
        <v>46347</v>
      </c>
      <c r="K207" s="66">
        <f t="shared" si="18"/>
        <v>46363</v>
      </c>
      <c r="L207" s="67"/>
      <c r="M207" s="68">
        <v>0</v>
      </c>
      <c r="N207" s="74"/>
      <c r="O207" s="61">
        <f t="shared" si="14"/>
        <v>46366</v>
      </c>
      <c r="P207" s="25">
        <v>46356</v>
      </c>
      <c r="Q207" s="62"/>
      <c r="R207" s="63">
        <v>0</v>
      </c>
    </row>
    <row r="208" spans="1:37" x14ac:dyDescent="0.3">
      <c r="A208" s="64" t="s">
        <v>297</v>
      </c>
      <c r="B208" s="99"/>
      <c r="C208" s="54">
        <f>VLOOKUP(A208,קוביות!A:X,24,0)</f>
        <v>3024</v>
      </c>
      <c r="D208" s="54">
        <v>3024</v>
      </c>
      <c r="E208" s="80">
        <v>12</v>
      </c>
      <c r="F208" s="80">
        <v>1</v>
      </c>
      <c r="G208" s="57" t="e">
        <f>#REF!+(E208/F208)</f>
        <v>#REF!</v>
      </c>
      <c r="H208" s="101"/>
      <c r="I208" s="66">
        <f>VLOOKUP(A208,'[1]תכנית ייצור'!$B:$H,7,0)</f>
        <v>46337</v>
      </c>
      <c r="J208" s="66">
        <f t="shared" si="17"/>
        <v>46343</v>
      </c>
      <c r="K208" s="66">
        <f t="shared" si="18"/>
        <v>46359</v>
      </c>
      <c r="L208" s="67"/>
      <c r="M208" s="68">
        <v>0</v>
      </c>
      <c r="N208" s="74"/>
      <c r="O208" s="61">
        <f t="shared" si="14"/>
        <v>46362</v>
      </c>
      <c r="P208" s="25">
        <f>VLOOKUP(A208,'הזמנות פתוחות'!A:D,4,0)</f>
        <v>46344</v>
      </c>
      <c r="Q208" s="62"/>
      <c r="R208" s="63">
        <v>0</v>
      </c>
    </row>
    <row r="209" spans="1:37" x14ac:dyDescent="0.3">
      <c r="A209" s="64" t="s">
        <v>287</v>
      </c>
      <c r="B209" s="99"/>
      <c r="C209" s="54">
        <f>VLOOKUP(A209,קוביות!A:X,24,0)</f>
        <v>3024</v>
      </c>
      <c r="D209" s="54">
        <v>3024</v>
      </c>
      <c r="E209" s="80">
        <v>12</v>
      </c>
      <c r="F209" s="80">
        <v>1</v>
      </c>
      <c r="G209" s="57" t="e">
        <f>#REF!+(E209/F209)</f>
        <v>#REF!</v>
      </c>
      <c r="H209" s="101"/>
      <c r="I209" s="66">
        <f>VLOOKUP(A209,'[1]תכנית ייצור'!$B:$H,7,0)</f>
        <v>46327</v>
      </c>
      <c r="J209" s="66">
        <f t="shared" si="17"/>
        <v>46333</v>
      </c>
      <c r="K209" s="66">
        <f t="shared" si="18"/>
        <v>46349</v>
      </c>
      <c r="L209" s="67"/>
      <c r="M209" s="68">
        <v>0</v>
      </c>
      <c r="N209" s="74"/>
      <c r="O209" s="61">
        <f t="shared" si="14"/>
        <v>46352</v>
      </c>
      <c r="P209" s="25">
        <f>VLOOKUP(A209,'הזמנות פתוחות'!A:D,4,0)</f>
        <v>46344</v>
      </c>
      <c r="Q209" s="62"/>
      <c r="R209" s="63">
        <v>0</v>
      </c>
    </row>
    <row r="210" spans="1:37" ht="46.8" x14ac:dyDescent="0.3">
      <c r="A210" s="64" t="s">
        <v>302</v>
      </c>
      <c r="B210" s="99"/>
      <c r="C210" s="54">
        <f>VLOOKUP(A210,קוביות!A:X,24,0)</f>
        <v>3024</v>
      </c>
      <c r="D210" s="54">
        <v>3024</v>
      </c>
      <c r="E210" s="80">
        <v>12</v>
      </c>
      <c r="F210" s="80">
        <v>1</v>
      </c>
      <c r="G210" s="57" t="e">
        <f>#REF!+(E210/F210)</f>
        <v>#REF!</v>
      </c>
      <c r="H210" s="101"/>
      <c r="I210" s="143" t="s">
        <v>426</v>
      </c>
      <c r="J210" s="66"/>
      <c r="K210" s="66"/>
      <c r="L210" s="67"/>
      <c r="M210" s="68">
        <v>0</v>
      </c>
      <c r="N210" s="74"/>
      <c r="O210" s="61" t="s">
        <v>398</v>
      </c>
      <c r="P210" s="25">
        <f>VLOOKUP(A210,'הזמנות פתוחות'!A:D,4,0)</f>
        <v>46420</v>
      </c>
      <c r="Q210" s="62"/>
      <c r="R210" s="63" t="s">
        <v>427</v>
      </c>
    </row>
    <row r="211" spans="1:37" x14ac:dyDescent="0.3">
      <c r="A211" s="64" t="s">
        <v>300</v>
      </c>
      <c r="B211" s="99"/>
      <c r="C211" s="54">
        <f>VLOOKUP(A211,קוביות!A:X,24,0)</f>
        <v>3024</v>
      </c>
      <c r="D211" s="54">
        <v>3024</v>
      </c>
      <c r="E211" s="80">
        <v>12</v>
      </c>
      <c r="F211" s="80">
        <v>1</v>
      </c>
      <c r="G211" s="57" t="e">
        <f>#REF!+(E211/F211)</f>
        <v>#REF!</v>
      </c>
      <c r="H211" s="101"/>
      <c r="I211" s="66">
        <f>VLOOKUP(A211,'[1]תכנית ייצור'!$B:$H,7,0)</f>
        <v>46285</v>
      </c>
      <c r="J211" s="66">
        <f t="shared" si="17"/>
        <v>46291</v>
      </c>
      <c r="K211" s="66">
        <f t="shared" si="18"/>
        <v>46307</v>
      </c>
      <c r="L211" s="67"/>
      <c r="M211" s="68">
        <v>0</v>
      </c>
      <c r="N211" s="74"/>
      <c r="O211" s="61">
        <f t="shared" si="14"/>
        <v>46310</v>
      </c>
      <c r="P211" s="25">
        <f>VLOOKUP(A211,'הזמנות פתוחות'!A:D,4,0)</f>
        <v>46377</v>
      </c>
      <c r="Q211" s="62"/>
      <c r="R211" s="63">
        <v>0</v>
      </c>
    </row>
    <row r="212" spans="1:37" x14ac:dyDescent="0.3">
      <c r="A212" s="64" t="s">
        <v>283</v>
      </c>
      <c r="B212" s="99"/>
      <c r="C212" s="54">
        <f>VLOOKUP(A212,קוביות!A:X,24,0)</f>
        <v>3024</v>
      </c>
      <c r="D212" s="54">
        <v>3024</v>
      </c>
      <c r="E212" s="80">
        <v>12</v>
      </c>
      <c r="F212" s="80">
        <v>1</v>
      </c>
      <c r="G212" s="57" t="e">
        <f>#REF!+(E212/F212)</f>
        <v>#REF!</v>
      </c>
      <c r="H212" s="101"/>
      <c r="I212" s="66">
        <v>46066</v>
      </c>
      <c r="J212" s="66">
        <f t="shared" si="17"/>
        <v>46072</v>
      </c>
      <c r="K212" s="66">
        <f t="shared" si="18"/>
        <v>46088</v>
      </c>
      <c r="L212" s="67"/>
      <c r="M212" s="68">
        <v>0</v>
      </c>
      <c r="N212" s="74"/>
      <c r="O212" s="61">
        <f t="shared" si="14"/>
        <v>46091</v>
      </c>
      <c r="P212" s="25">
        <f>VLOOKUP(A212,'הזמנות פתוחות'!A:D,4,0)</f>
        <v>46446</v>
      </c>
      <c r="Q212" s="62"/>
      <c r="R212" s="63">
        <v>0</v>
      </c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</row>
    <row r="213" spans="1:37" x14ac:dyDescent="0.3">
      <c r="A213" s="64" t="s">
        <v>301</v>
      </c>
      <c r="B213" s="99"/>
      <c r="C213" s="54">
        <f>VLOOKUP(A213,קוביות!A:X,24,0)</f>
        <v>3024</v>
      </c>
      <c r="D213" s="54">
        <v>3024</v>
      </c>
      <c r="E213" s="80">
        <v>12</v>
      </c>
      <c r="F213" s="80">
        <v>1</v>
      </c>
      <c r="G213" s="57" t="e">
        <f>#REF!+(E213/F213)</f>
        <v>#REF!</v>
      </c>
      <c r="H213" s="101"/>
      <c r="I213" s="40">
        <v>46235</v>
      </c>
      <c r="J213" s="66">
        <v>46254</v>
      </c>
      <c r="K213" s="66">
        <f t="shared" si="18"/>
        <v>46270</v>
      </c>
      <c r="L213" s="67"/>
      <c r="M213" s="68">
        <v>0</v>
      </c>
      <c r="N213" s="74"/>
      <c r="O213" s="61">
        <f>K213+5</f>
        <v>46275</v>
      </c>
      <c r="P213" s="25">
        <f>VLOOKUP(A213,'הזמנות פתוחות'!A:D,4,0)</f>
        <v>46377</v>
      </c>
      <c r="Q213" s="62"/>
      <c r="R213" s="63">
        <v>0</v>
      </c>
    </row>
    <row r="214" spans="1:37" x14ac:dyDescent="0.3">
      <c r="A214" s="64" t="s">
        <v>306</v>
      </c>
      <c r="B214" s="99"/>
      <c r="C214" s="54">
        <f>VLOOKUP(A214,קוביות!A:X,24,0)</f>
        <v>3024</v>
      </c>
      <c r="D214" s="54">
        <v>3024</v>
      </c>
      <c r="E214" s="80">
        <v>12</v>
      </c>
      <c r="F214" s="80">
        <v>1</v>
      </c>
      <c r="G214" s="57" t="e">
        <f>#REF!+(E214/F214)</f>
        <v>#REF!</v>
      </c>
      <c r="H214" s="101"/>
      <c r="I214" s="40">
        <v>46236</v>
      </c>
      <c r="J214" s="66">
        <v>46256</v>
      </c>
      <c r="K214" s="66">
        <f t="shared" si="18"/>
        <v>46272</v>
      </c>
      <c r="L214" s="67"/>
      <c r="M214" s="68">
        <v>0</v>
      </c>
      <c r="N214" s="74"/>
      <c r="O214" s="61">
        <f t="shared" si="14"/>
        <v>46275</v>
      </c>
      <c r="P214" s="25">
        <f>VLOOKUP(A214,'הזמנות פתוחות'!A:D,4,0)</f>
        <v>46377</v>
      </c>
      <c r="Q214" s="62"/>
      <c r="R214" s="63">
        <v>0</v>
      </c>
    </row>
    <row r="215" spans="1:37" x14ac:dyDescent="0.3">
      <c r="A215" s="64" t="s">
        <v>309</v>
      </c>
      <c r="B215" s="99"/>
      <c r="C215" s="54">
        <f>VLOOKUP(A215,קוביות!A:X,24,0)</f>
        <v>3024</v>
      </c>
      <c r="D215" s="54">
        <v>3024</v>
      </c>
      <c r="E215" s="80">
        <v>12</v>
      </c>
      <c r="F215" s="80">
        <v>1</v>
      </c>
      <c r="G215" s="57" t="e">
        <f>#REF!+(E215/F215)</f>
        <v>#REF!</v>
      </c>
      <c r="H215" s="101"/>
      <c r="I215" s="66">
        <f>VLOOKUP(A215,'[1]תכנית ייצור'!$D:$H,5,0)</f>
        <v>46425</v>
      </c>
      <c r="J215" s="66">
        <f t="shared" ref="J215:J251" si="19">I215+6</f>
        <v>46431</v>
      </c>
      <c r="K215" s="66">
        <f t="shared" si="18"/>
        <v>46447</v>
      </c>
      <c r="L215" s="67"/>
      <c r="M215" s="68">
        <v>0</v>
      </c>
      <c r="N215" s="74"/>
      <c r="O215" s="61">
        <f t="shared" si="14"/>
        <v>46450</v>
      </c>
      <c r="P215" s="25">
        <f>VLOOKUP(A215,'הזמנות פתוחות'!A:D,4,0)</f>
        <v>46428</v>
      </c>
      <c r="Q215" s="62"/>
      <c r="R215" s="63">
        <v>0</v>
      </c>
    </row>
    <row r="216" spans="1:37" x14ac:dyDescent="0.3">
      <c r="A216" s="64" t="s">
        <v>310</v>
      </c>
      <c r="B216" s="99"/>
      <c r="C216" s="54">
        <f>VLOOKUP(A216,קוביות!A:X,24,0)</f>
        <v>3024</v>
      </c>
      <c r="D216" s="54">
        <v>3024</v>
      </c>
      <c r="E216" s="80">
        <v>12</v>
      </c>
      <c r="F216" s="80">
        <v>1</v>
      </c>
      <c r="G216" s="57" t="e">
        <f>#REF!+(E216/F216)</f>
        <v>#REF!</v>
      </c>
      <c r="H216" s="101"/>
      <c r="I216" s="66">
        <f>VLOOKUP(A216,'[1]תכנית ייצור'!$D:$H,5,0)</f>
        <v>46431</v>
      </c>
      <c r="J216" s="66">
        <f t="shared" si="19"/>
        <v>46437</v>
      </c>
      <c r="K216" s="66">
        <f t="shared" si="18"/>
        <v>46453</v>
      </c>
      <c r="L216" s="67"/>
      <c r="M216" s="68">
        <v>0</v>
      </c>
      <c r="N216" s="74"/>
      <c r="O216" s="61">
        <f t="shared" si="14"/>
        <v>46456</v>
      </c>
      <c r="P216" s="25">
        <f>VLOOKUP(A216,'הזמנות פתוחות'!A:D,4,0)</f>
        <v>46428</v>
      </c>
      <c r="Q216" s="62"/>
      <c r="R216" s="63">
        <v>0</v>
      </c>
    </row>
    <row r="217" spans="1:37" x14ac:dyDescent="0.3">
      <c r="A217" s="91" t="s">
        <v>298</v>
      </c>
      <c r="B217" s="65"/>
      <c r="C217" s="54">
        <f>VLOOKUP(A217,קוביות!A:X,24,0)</f>
        <v>3024</v>
      </c>
      <c r="D217" s="54">
        <v>3024</v>
      </c>
      <c r="E217" s="80">
        <v>12</v>
      </c>
      <c r="F217" s="57"/>
      <c r="G217" s="57"/>
      <c r="H217" s="54"/>
      <c r="I217" s="66">
        <f>VLOOKUP(A217,'[1]תכנית ייצור'!$B:$H,7,0)</f>
        <v>46427</v>
      </c>
      <c r="J217" s="66">
        <f t="shared" si="19"/>
        <v>46433</v>
      </c>
      <c r="K217" s="66">
        <f t="shared" si="18"/>
        <v>46449</v>
      </c>
      <c r="L217" s="67"/>
      <c r="M217" s="68">
        <v>0</v>
      </c>
      <c r="N217" s="74"/>
      <c r="O217" s="61">
        <f t="shared" si="14"/>
        <v>46452</v>
      </c>
      <c r="P217" s="25">
        <f>VLOOKUP(A217,'הזמנות פתוחות'!A:D,4,0)</f>
        <v>46430</v>
      </c>
      <c r="Q217" s="126"/>
      <c r="R217" s="63">
        <v>0</v>
      </c>
    </row>
    <row r="218" spans="1:37" customFormat="1" x14ac:dyDescent="0.3">
      <c r="A218" s="91" t="s">
        <v>299</v>
      </c>
      <c r="B218" s="150"/>
      <c r="C218" s="54">
        <f>VLOOKUP(A218,קוביות!A:X,24,0)</f>
        <v>3024</v>
      </c>
      <c r="D218" s="54">
        <v>3024</v>
      </c>
      <c r="E218" s="80">
        <v>12</v>
      </c>
      <c r="F218" s="57"/>
      <c r="G218" s="57"/>
      <c r="H218" s="54"/>
      <c r="I218" s="66">
        <f>VLOOKUP(A218,'[1]תכנית ייצור'!$B:$H,7,0)</f>
        <v>46421</v>
      </c>
      <c r="J218" s="66">
        <f t="shared" si="19"/>
        <v>46427</v>
      </c>
      <c r="K218" s="66">
        <f t="shared" si="18"/>
        <v>46443</v>
      </c>
      <c r="L218" s="67"/>
      <c r="M218" s="68">
        <v>0</v>
      </c>
      <c r="N218" s="74"/>
      <c r="O218" s="61">
        <f t="shared" si="14"/>
        <v>46446</v>
      </c>
      <c r="P218" s="25">
        <f>VLOOKUP(A218,'הזמנות פתוחות'!A:D,4,0)</f>
        <v>46434</v>
      </c>
      <c r="Q218" s="126"/>
      <c r="R218" s="63">
        <v>0</v>
      </c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</row>
    <row r="219" spans="1:37" x14ac:dyDescent="0.3">
      <c r="A219" s="91" t="s">
        <v>290</v>
      </c>
      <c r="B219" s="65"/>
      <c r="C219" s="54">
        <f>VLOOKUP(A219,קוביות!A:X,24,0)</f>
        <v>3024</v>
      </c>
      <c r="D219" s="54">
        <v>3024</v>
      </c>
      <c r="E219" s="80">
        <v>12</v>
      </c>
      <c r="F219" s="57"/>
      <c r="G219" s="57"/>
      <c r="H219" s="54"/>
      <c r="I219" s="66">
        <f>VLOOKUP(A219,'[1]תכנית ייצור'!$B:$H,7,0)</f>
        <v>46419</v>
      </c>
      <c r="J219" s="66">
        <f t="shared" si="19"/>
        <v>46425</v>
      </c>
      <c r="K219" s="66">
        <f t="shared" si="18"/>
        <v>46441</v>
      </c>
      <c r="L219" s="67"/>
      <c r="M219" s="68">
        <v>0</v>
      </c>
      <c r="N219" s="74"/>
      <c r="O219" s="61">
        <f t="shared" si="14"/>
        <v>46444</v>
      </c>
      <c r="P219" s="25">
        <f>VLOOKUP(A219,'הזמנות פתוחות'!A:D,4,0)</f>
        <v>46441</v>
      </c>
      <c r="Q219" s="126"/>
      <c r="R219" s="63">
        <v>0</v>
      </c>
    </row>
    <row r="220" spans="1:37" x14ac:dyDescent="0.3">
      <c r="A220" s="91" t="s">
        <v>295</v>
      </c>
      <c r="B220" s="65"/>
      <c r="C220" s="54">
        <f>VLOOKUP(A220,קוביות!A:X,24,0)</f>
        <v>3024</v>
      </c>
      <c r="D220" s="54">
        <v>3024</v>
      </c>
      <c r="E220" s="80">
        <v>12</v>
      </c>
      <c r="F220" s="57"/>
      <c r="G220" s="57"/>
      <c r="H220" s="54"/>
      <c r="I220" s="66">
        <f>VLOOKUP(A220,'[1]תכנית ייצור'!$B:$H,7,0)</f>
        <v>46295</v>
      </c>
      <c r="J220" s="66">
        <f t="shared" si="19"/>
        <v>46301</v>
      </c>
      <c r="K220" s="66">
        <f t="shared" si="18"/>
        <v>46317</v>
      </c>
      <c r="L220" s="67"/>
      <c r="M220" s="68">
        <v>0</v>
      </c>
      <c r="N220" s="74"/>
      <c r="O220" s="61">
        <f t="shared" si="14"/>
        <v>46320</v>
      </c>
      <c r="P220" s="25">
        <f>VLOOKUP(A220,'הזמנות פתוחות'!A:D,4,0)</f>
        <v>46405</v>
      </c>
      <c r="Q220" s="126"/>
      <c r="R220" s="63">
        <v>0</v>
      </c>
    </row>
    <row r="221" spans="1:37" x14ac:dyDescent="0.3">
      <c r="A221" s="91" t="s">
        <v>296</v>
      </c>
      <c r="B221" s="65"/>
      <c r="C221" s="54">
        <f>VLOOKUP(A221,קוביות!A:X,24,0)</f>
        <v>3024</v>
      </c>
      <c r="D221" s="54">
        <v>3024</v>
      </c>
      <c r="E221" s="80">
        <v>12</v>
      </c>
      <c r="F221" s="57"/>
      <c r="G221" s="57"/>
      <c r="H221" s="54"/>
      <c r="I221" s="66">
        <f>VLOOKUP(A221,'[1]תכנית ייצור'!$B:$H,7,0)</f>
        <v>46427</v>
      </c>
      <c r="J221" s="66">
        <f t="shared" si="19"/>
        <v>46433</v>
      </c>
      <c r="K221" s="66">
        <f t="shared" si="18"/>
        <v>46449</v>
      </c>
      <c r="L221" s="67"/>
      <c r="M221" s="68">
        <v>0</v>
      </c>
      <c r="N221" s="74"/>
      <c r="O221" s="61">
        <f t="shared" si="14"/>
        <v>46452</v>
      </c>
      <c r="P221" s="25">
        <f>VLOOKUP(A221,'הזמנות פתוחות'!A:D,4,0)</f>
        <v>46417</v>
      </c>
      <c r="Q221" s="126"/>
      <c r="R221" s="63">
        <v>0</v>
      </c>
    </row>
    <row r="222" spans="1:37" x14ac:dyDescent="0.3">
      <c r="A222" s="91" t="s">
        <v>305</v>
      </c>
      <c r="B222" s="65"/>
      <c r="C222" s="54">
        <f>VLOOKUP(A222,קוביות!A:X,24,0)</f>
        <v>3024</v>
      </c>
      <c r="D222" s="54">
        <v>3024</v>
      </c>
      <c r="E222" s="80">
        <v>12</v>
      </c>
      <c r="F222" s="57"/>
      <c r="G222" s="57"/>
      <c r="H222" s="54"/>
      <c r="I222" s="66">
        <f>VLOOKUP(A222,'[1]תכנית ייצור'!$B:$H,7,0)</f>
        <v>46275</v>
      </c>
      <c r="J222" s="66">
        <f t="shared" si="19"/>
        <v>46281</v>
      </c>
      <c r="K222" s="66">
        <f t="shared" si="18"/>
        <v>46297</v>
      </c>
      <c r="L222" s="67"/>
      <c r="M222" s="68">
        <v>0</v>
      </c>
      <c r="N222" s="74"/>
      <c r="O222" s="61">
        <f t="shared" si="14"/>
        <v>46300</v>
      </c>
      <c r="P222" s="25">
        <f>VLOOKUP(A222,'הזמנות פתוחות'!A:D,4,0)</f>
        <v>46322</v>
      </c>
      <c r="Q222" s="126"/>
      <c r="R222" s="63">
        <v>0</v>
      </c>
    </row>
    <row r="223" spans="1:37" x14ac:dyDescent="0.3">
      <c r="A223" s="91" t="s">
        <v>288</v>
      </c>
      <c r="B223" s="65"/>
      <c r="C223" s="54">
        <f>VLOOKUP(A223,קוביות!A:X,24,0)</f>
        <v>3024</v>
      </c>
      <c r="D223" s="54">
        <v>3024</v>
      </c>
      <c r="E223" s="80">
        <v>12</v>
      </c>
      <c r="F223" s="57"/>
      <c r="G223" s="57"/>
      <c r="H223" s="54"/>
      <c r="I223" s="66">
        <v>46356</v>
      </c>
      <c r="J223" s="66">
        <f t="shared" si="19"/>
        <v>46362</v>
      </c>
      <c r="K223" s="66">
        <f t="shared" si="18"/>
        <v>46378</v>
      </c>
      <c r="L223" s="67"/>
      <c r="M223" s="68">
        <v>0</v>
      </c>
      <c r="N223" s="74"/>
      <c r="O223" s="61">
        <f t="shared" si="14"/>
        <v>46381</v>
      </c>
      <c r="P223" s="25">
        <f>VLOOKUP(A223,'הזמנות פתוחות'!A:D,4,0)</f>
        <v>46379</v>
      </c>
      <c r="Q223" s="62"/>
      <c r="R223" s="63">
        <v>0</v>
      </c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</row>
    <row r="224" spans="1:37" x14ac:dyDescent="0.3">
      <c r="A224" s="91" t="s">
        <v>307</v>
      </c>
      <c r="B224" s="99"/>
      <c r="C224" s="54">
        <f>VLOOKUP(A224,קוביות!A:X,24,0)</f>
        <v>3024</v>
      </c>
      <c r="D224" s="54">
        <v>3024</v>
      </c>
      <c r="E224" s="80">
        <v>12</v>
      </c>
      <c r="F224" s="80">
        <v>1</v>
      </c>
      <c r="G224" s="57" t="e">
        <f>#REF!+(E224/F224)</f>
        <v>#REF!</v>
      </c>
      <c r="H224" s="101"/>
      <c r="I224" s="66">
        <f>VLOOKUP(A224,'[1]תכנית ייצור'!$B:$H,7,0)</f>
        <v>46285</v>
      </c>
      <c r="J224" s="66">
        <f t="shared" si="19"/>
        <v>46291</v>
      </c>
      <c r="K224" s="66">
        <f t="shared" si="18"/>
        <v>46307</v>
      </c>
      <c r="L224" s="67"/>
      <c r="M224" s="68">
        <v>0</v>
      </c>
      <c r="N224" s="74"/>
      <c r="O224" s="61">
        <f t="shared" si="14"/>
        <v>46310</v>
      </c>
      <c r="P224" s="25">
        <f>VLOOKUP(A224,'הזמנות פתוחות'!A:D,4,0)</f>
        <v>46402</v>
      </c>
      <c r="Q224" s="62"/>
      <c r="R224" s="63">
        <v>0</v>
      </c>
    </row>
    <row r="225" spans="1:18" x14ac:dyDescent="0.3">
      <c r="A225" s="91" t="s">
        <v>294</v>
      </c>
      <c r="B225" s="65"/>
      <c r="C225" s="54">
        <f>VLOOKUP(A225,קוביות!A:X,24,0)</f>
        <v>3024</v>
      </c>
      <c r="D225" s="54">
        <v>3024</v>
      </c>
      <c r="E225" s="80">
        <v>12</v>
      </c>
      <c r="F225" s="57"/>
      <c r="G225" s="57"/>
      <c r="H225" s="54"/>
      <c r="I225" s="66">
        <v>46354</v>
      </c>
      <c r="J225" s="66">
        <f t="shared" si="19"/>
        <v>46360</v>
      </c>
      <c r="K225" s="66">
        <f t="shared" si="18"/>
        <v>46376</v>
      </c>
      <c r="L225" s="67"/>
      <c r="M225" s="68">
        <v>0</v>
      </c>
      <c r="N225" s="74"/>
      <c r="O225" s="61">
        <f t="shared" si="14"/>
        <v>46379</v>
      </c>
      <c r="P225" s="25">
        <f>VLOOKUP(A225,'הזמנות פתוחות'!A:D,4,0)</f>
        <v>46363</v>
      </c>
      <c r="Q225" s="126"/>
      <c r="R225" s="63">
        <v>0</v>
      </c>
    </row>
    <row r="226" spans="1:18" ht="16.8" customHeight="1" x14ac:dyDescent="0.3">
      <c r="A226" s="91" t="s">
        <v>319</v>
      </c>
      <c r="B226" s="150"/>
      <c r="C226" s="54">
        <f>VLOOKUP(A226,קוביות!A:X,24,0)</f>
        <v>3025</v>
      </c>
      <c r="D226" s="54">
        <v>3025</v>
      </c>
      <c r="E226" s="80">
        <v>12</v>
      </c>
      <c r="F226" s="57"/>
      <c r="G226" s="57"/>
      <c r="H226" s="98"/>
      <c r="I226" s="66">
        <f>VLOOKUP(A226,'[1]תכנית ייצור'!$B:$H,7,0)</f>
        <v>46401</v>
      </c>
      <c r="J226" s="66">
        <f>I226+6</f>
        <v>46407</v>
      </c>
      <c r="K226" s="66">
        <f>J226+16</f>
        <v>46423</v>
      </c>
      <c r="L226" s="67"/>
      <c r="M226" s="68">
        <v>0</v>
      </c>
      <c r="N226" s="74"/>
      <c r="O226" s="61">
        <f>K226+3</f>
        <v>46426</v>
      </c>
      <c r="P226" s="25">
        <f>VLOOKUP(A226,'הזמנות פתוחות'!A:D,4,0)</f>
        <v>46387</v>
      </c>
      <c r="Q226" s="126"/>
      <c r="R226" s="63">
        <v>0</v>
      </c>
    </row>
    <row r="227" spans="1:18" x14ac:dyDescent="0.3">
      <c r="A227" s="91" t="s">
        <v>315</v>
      </c>
      <c r="B227" s="65"/>
      <c r="C227" s="54">
        <f>VLOOKUP(A227,קוביות!A:X,24,0)</f>
        <v>3025</v>
      </c>
      <c r="D227" s="54">
        <v>3025</v>
      </c>
      <c r="E227" s="80">
        <v>12</v>
      </c>
      <c r="F227" s="80">
        <v>1</v>
      </c>
      <c r="G227" s="57" t="e">
        <f>#REF!+(E227/F227)</f>
        <v>#REF!</v>
      </c>
      <c r="H227" s="54"/>
      <c r="I227" s="66">
        <f>VLOOKUP(A227,'[1]תכנית ייצור'!$B:$H,7,0)</f>
        <v>46418</v>
      </c>
      <c r="J227" s="66">
        <f t="shared" si="19"/>
        <v>46424</v>
      </c>
      <c r="K227" s="66">
        <f t="shared" si="18"/>
        <v>46440</v>
      </c>
      <c r="L227" s="67"/>
      <c r="M227" s="68">
        <v>0</v>
      </c>
      <c r="N227" s="72"/>
      <c r="O227" s="61">
        <f t="shared" si="14"/>
        <v>46443</v>
      </c>
      <c r="P227" s="25">
        <f>VLOOKUP(A227,'הזמנות פתוחות'!A:D,4,0)</f>
        <v>46405</v>
      </c>
      <c r="Q227" s="62"/>
      <c r="R227" s="63">
        <v>0</v>
      </c>
    </row>
    <row r="228" spans="1:18" x14ac:dyDescent="0.3">
      <c r="A228" s="91" t="s">
        <v>316</v>
      </c>
      <c r="B228" s="150"/>
      <c r="C228" s="54">
        <f>VLOOKUP(A228,קוביות!A:X,24,0)</f>
        <v>3025</v>
      </c>
      <c r="D228" s="54">
        <v>3025</v>
      </c>
      <c r="E228" s="80">
        <v>12</v>
      </c>
      <c r="F228" s="57"/>
      <c r="G228" s="57"/>
      <c r="H228" s="98"/>
      <c r="I228" s="66">
        <f>VLOOKUP(A228,'[1]תכנית ייצור'!$B:$H,7,0)</f>
        <v>46310</v>
      </c>
      <c r="J228" s="66">
        <f t="shared" si="19"/>
        <v>46316</v>
      </c>
      <c r="K228" s="66">
        <f t="shared" si="18"/>
        <v>46332</v>
      </c>
      <c r="L228" s="67"/>
      <c r="M228" s="68">
        <v>0</v>
      </c>
      <c r="N228" s="152"/>
      <c r="O228" s="61">
        <f t="shared" si="14"/>
        <v>46335</v>
      </c>
      <c r="P228" s="25">
        <f>VLOOKUP(A228,'הזמנות פתוחות'!A:D,4,0)</f>
        <v>46419</v>
      </c>
      <c r="Q228" s="126"/>
      <c r="R228" s="63">
        <v>0</v>
      </c>
    </row>
    <row r="229" spans="1:18" x14ac:dyDescent="0.3">
      <c r="A229" s="91" t="s">
        <v>317</v>
      </c>
      <c r="B229" s="99"/>
      <c r="C229" s="54">
        <f>VLOOKUP(A229,קוביות!A:X,24,0)</f>
        <v>3025</v>
      </c>
      <c r="D229" s="54">
        <v>3025</v>
      </c>
      <c r="E229" s="80">
        <v>12</v>
      </c>
      <c r="F229" s="80">
        <v>1</v>
      </c>
      <c r="G229" s="57" t="e">
        <f>#REF!+(E229/F229)</f>
        <v>#REF!</v>
      </c>
      <c r="H229" s="101"/>
      <c r="I229" s="66">
        <f>VLOOKUP(A229,'[1]תכנית ייצור'!$B:$H,7,0)</f>
        <v>46271</v>
      </c>
      <c r="J229" s="66">
        <f t="shared" si="19"/>
        <v>46277</v>
      </c>
      <c r="K229" s="66">
        <f t="shared" si="18"/>
        <v>46293</v>
      </c>
      <c r="L229" s="67"/>
      <c r="M229" s="68">
        <v>0</v>
      </c>
      <c r="N229" s="74"/>
      <c r="O229" s="61">
        <f t="shared" si="14"/>
        <v>46296</v>
      </c>
      <c r="P229" s="25">
        <f>VLOOKUP(A229,'הזמנות פתוחות'!A:D,4,0)</f>
        <v>46334</v>
      </c>
      <c r="Q229" s="62"/>
      <c r="R229" s="63">
        <v>0</v>
      </c>
    </row>
    <row r="230" spans="1:18" x14ac:dyDescent="0.3">
      <c r="A230" s="64" t="s">
        <v>313</v>
      </c>
      <c r="B230" s="65" t="s">
        <v>314</v>
      </c>
      <c r="C230" s="54">
        <f>VLOOKUP(A230,קוביות!A:X,24,0)</f>
        <v>3025</v>
      </c>
      <c r="D230" s="54">
        <v>3025</v>
      </c>
      <c r="E230" s="80">
        <v>12</v>
      </c>
      <c r="F230" s="80">
        <v>1</v>
      </c>
      <c r="G230" s="57" t="e">
        <f>#REF!+(E230/F230)</f>
        <v>#REF!</v>
      </c>
      <c r="H230" s="112"/>
      <c r="I230" s="66">
        <v>46259</v>
      </c>
      <c r="J230" s="66">
        <f t="shared" si="19"/>
        <v>46265</v>
      </c>
      <c r="K230" s="66">
        <f t="shared" si="18"/>
        <v>46281</v>
      </c>
      <c r="L230" s="67"/>
      <c r="M230" s="68">
        <v>0</v>
      </c>
      <c r="N230" s="72"/>
      <c r="O230" s="61">
        <f t="shared" si="14"/>
        <v>46284</v>
      </c>
      <c r="P230" s="25">
        <v>46338</v>
      </c>
      <c r="Q230" s="62"/>
      <c r="R230" s="63">
        <v>0</v>
      </c>
    </row>
    <row r="231" spans="1:18" x14ac:dyDescent="0.3">
      <c r="A231" s="64" t="s">
        <v>321</v>
      </c>
      <c r="B231" s="65"/>
      <c r="C231" s="54">
        <f>VLOOKUP(A231,קוביות!A:X,24,0)</f>
        <v>3026</v>
      </c>
      <c r="D231" s="54">
        <v>3026</v>
      </c>
      <c r="E231" s="55"/>
      <c r="F231" s="57"/>
      <c r="G231" s="57"/>
      <c r="H231" s="54"/>
      <c r="I231" s="66">
        <f>VLOOKUP(A231,'[1]תכנית ייצור'!$B:$H,7,0)</f>
        <v>46421</v>
      </c>
      <c r="J231" s="66">
        <f t="shared" si="19"/>
        <v>46427</v>
      </c>
      <c r="K231" s="66">
        <f t="shared" si="18"/>
        <v>46443</v>
      </c>
      <c r="L231" s="67"/>
      <c r="M231" s="68">
        <v>0</v>
      </c>
      <c r="N231" s="74"/>
      <c r="O231" s="61">
        <f t="shared" si="14"/>
        <v>46446</v>
      </c>
      <c r="P231" s="25">
        <f>VLOOKUP(A231,'הזמנות פתוחות'!A:D,4,0)</f>
        <v>46420</v>
      </c>
      <c r="Q231" s="62"/>
      <c r="R231" s="63" t="e">
        <v>#N/A</v>
      </c>
    </row>
    <row r="232" spans="1:18" x14ac:dyDescent="0.3">
      <c r="A232" s="91" t="s">
        <v>229</v>
      </c>
      <c r="B232" s="65" t="s">
        <v>230</v>
      </c>
      <c r="C232" s="54">
        <f>VLOOKUP(A232,קוביות!A:X,24,0)</f>
        <v>3019</v>
      </c>
      <c r="D232" s="54">
        <v>3026</v>
      </c>
      <c r="E232" s="80">
        <v>12</v>
      </c>
      <c r="F232" s="80">
        <v>1</v>
      </c>
      <c r="G232" s="57" t="e">
        <f>#REF!+(E232/F232)</f>
        <v>#REF!</v>
      </c>
      <c r="H232" s="85"/>
      <c r="I232" s="40">
        <v>46243</v>
      </c>
      <c r="J232" s="40">
        <v>46257</v>
      </c>
      <c r="K232" s="66">
        <f>J232+19</f>
        <v>46276</v>
      </c>
      <c r="L232" s="67"/>
      <c r="M232" s="68" t="s">
        <v>400</v>
      </c>
      <c r="N232" s="69"/>
      <c r="O232" s="61">
        <f t="shared" si="14"/>
        <v>46279</v>
      </c>
      <c r="P232" s="25">
        <f>VLOOKUP(A232,'הזמנות פתוחות'!A:D,4,0)</f>
        <v>46420</v>
      </c>
      <c r="Q232" s="62"/>
      <c r="R232" s="63" t="s">
        <v>843</v>
      </c>
    </row>
    <row r="233" spans="1:18" x14ac:dyDescent="0.3">
      <c r="A233" s="91" t="s">
        <v>322</v>
      </c>
      <c r="B233" s="150"/>
      <c r="C233" s="54">
        <f>VLOOKUP(A233,קוביות!A:X,24,0)</f>
        <v>3026</v>
      </c>
      <c r="D233" s="54">
        <v>3026</v>
      </c>
      <c r="E233" s="80">
        <v>12</v>
      </c>
      <c r="F233" s="57"/>
      <c r="G233" s="57"/>
      <c r="H233" s="98"/>
      <c r="I233" s="66">
        <f>VLOOKUP(A233,'[1]תכנית ייצור'!$B:$H,7,0)</f>
        <v>46268</v>
      </c>
      <c r="J233" s="66">
        <f t="shared" si="19"/>
        <v>46274</v>
      </c>
      <c r="K233" s="66">
        <f t="shared" si="18"/>
        <v>46290</v>
      </c>
      <c r="L233" s="67"/>
      <c r="M233" s="68">
        <v>0</v>
      </c>
      <c r="N233" s="74"/>
      <c r="O233" s="61">
        <f t="shared" si="14"/>
        <v>46293</v>
      </c>
      <c r="P233" s="25">
        <f>VLOOKUP(A233,'הזמנות פתוחות'!A:D,4,0)</f>
        <v>46391</v>
      </c>
      <c r="Q233" s="62"/>
      <c r="R233" s="63">
        <v>0</v>
      </c>
    </row>
    <row r="234" spans="1:18" x14ac:dyDescent="0.3">
      <c r="A234" s="64" t="s">
        <v>311</v>
      </c>
      <c r="B234" s="150" t="s">
        <v>312</v>
      </c>
      <c r="C234" s="54">
        <f>VLOOKUP(A234,קוביות!A:X,24,0)</f>
        <v>3025</v>
      </c>
      <c r="D234" s="54">
        <v>3026</v>
      </c>
      <c r="E234" s="80">
        <v>12</v>
      </c>
      <c r="F234" s="57"/>
      <c r="G234" s="57"/>
      <c r="H234" s="98"/>
      <c r="I234" s="66">
        <v>46270</v>
      </c>
      <c r="J234" s="66">
        <f t="shared" si="19"/>
        <v>46276</v>
      </c>
      <c r="K234" s="66">
        <f t="shared" si="18"/>
        <v>46292</v>
      </c>
      <c r="L234" s="67"/>
      <c r="M234" s="68">
        <v>0</v>
      </c>
      <c r="N234" s="74"/>
      <c r="O234" s="61">
        <f t="shared" si="14"/>
        <v>46295</v>
      </c>
      <c r="P234" s="25">
        <v>46464</v>
      </c>
      <c r="Q234" s="62"/>
      <c r="R234" s="63">
        <v>0</v>
      </c>
    </row>
    <row r="235" spans="1:18" x14ac:dyDescent="0.3">
      <c r="A235" s="91" t="s">
        <v>320</v>
      </c>
      <c r="B235" s="65"/>
      <c r="C235" s="54">
        <f>VLOOKUP(A235,קוביות!A:X,24,0)</f>
        <v>3026</v>
      </c>
      <c r="D235" s="54">
        <v>3026</v>
      </c>
      <c r="E235" s="80">
        <v>12</v>
      </c>
      <c r="F235" s="57"/>
      <c r="G235" s="57"/>
      <c r="H235" s="54"/>
      <c r="I235" s="41" t="s">
        <v>382</v>
      </c>
      <c r="J235" s="66">
        <v>46261</v>
      </c>
      <c r="K235" s="66">
        <f t="shared" si="18"/>
        <v>46277</v>
      </c>
      <c r="L235" s="67"/>
      <c r="M235" s="68">
        <v>0</v>
      </c>
      <c r="N235" s="74"/>
      <c r="O235" s="61">
        <f t="shared" ref="O235:O283" si="20">K235+3</f>
        <v>46280</v>
      </c>
      <c r="P235" s="25">
        <f>VLOOKUP(A235,'הזמנות פתוחות'!A:D,4,0)</f>
        <v>46289</v>
      </c>
      <c r="Q235" s="126"/>
      <c r="R235" s="63" t="s">
        <v>429</v>
      </c>
    </row>
    <row r="236" spans="1:18" x14ac:dyDescent="0.3">
      <c r="A236" s="91" t="s">
        <v>326</v>
      </c>
      <c r="B236" s="53" t="s">
        <v>327</v>
      </c>
      <c r="C236" s="54">
        <f>VLOOKUP(A236,קוביות!A:X,24,0)</f>
        <v>3027</v>
      </c>
      <c r="D236" s="54">
        <v>3027</v>
      </c>
      <c r="E236" s="80">
        <v>12</v>
      </c>
      <c r="F236" s="57"/>
      <c r="G236" s="57"/>
      <c r="H236" s="58"/>
      <c r="I236" s="66">
        <v>46425</v>
      </c>
      <c r="J236" s="66">
        <f t="shared" si="19"/>
        <v>46431</v>
      </c>
      <c r="K236" s="66">
        <f t="shared" si="18"/>
        <v>46447</v>
      </c>
      <c r="L236" s="67"/>
      <c r="M236" s="68">
        <v>0</v>
      </c>
      <c r="N236" s="60"/>
      <c r="O236" s="61">
        <f t="shared" si="20"/>
        <v>46450</v>
      </c>
      <c r="P236" s="25">
        <f>VLOOKUP(A236,'הזמנות פתוחות'!A:D,4,0)</f>
        <v>46448</v>
      </c>
      <c r="Q236" s="62"/>
      <c r="R236" s="63">
        <v>0</v>
      </c>
    </row>
    <row r="237" spans="1:18" x14ac:dyDescent="0.3">
      <c r="A237" s="91" t="s">
        <v>325</v>
      </c>
      <c r="B237" s="65"/>
      <c r="C237" s="54">
        <f>VLOOKUP(A237,קוביות!A:X,24,0)</f>
        <v>3027</v>
      </c>
      <c r="D237" s="54">
        <v>3027</v>
      </c>
      <c r="E237" s="80">
        <v>12</v>
      </c>
      <c r="F237" s="57"/>
      <c r="G237" s="57"/>
      <c r="H237" s="54"/>
      <c r="I237" s="66">
        <f>VLOOKUP(A237,'[1]תכנית ייצור'!$B:$H,7,0)</f>
        <v>46455</v>
      </c>
      <c r="J237" s="66">
        <f t="shared" si="19"/>
        <v>46461</v>
      </c>
      <c r="K237" s="66">
        <f t="shared" si="18"/>
        <v>46477</v>
      </c>
      <c r="L237" s="67"/>
      <c r="M237" s="68">
        <v>0</v>
      </c>
      <c r="N237" s="74"/>
      <c r="O237" s="61">
        <f t="shared" si="20"/>
        <v>46480</v>
      </c>
      <c r="P237" s="25">
        <f>VLOOKUP(A237,'הזמנות פתוחות'!A:D,4,0)</f>
        <v>46434</v>
      </c>
      <c r="Q237" s="126"/>
      <c r="R237" s="63">
        <v>0</v>
      </c>
    </row>
    <row r="238" spans="1:18" x14ac:dyDescent="0.3">
      <c r="A238" s="64" t="s">
        <v>333</v>
      </c>
      <c r="B238" s="65" t="s">
        <v>334</v>
      </c>
      <c r="C238" s="54">
        <f>VLOOKUP(A238,קוביות!A:X,24,0)</f>
        <v>3028</v>
      </c>
      <c r="D238" s="54">
        <v>3028</v>
      </c>
      <c r="E238" s="80">
        <v>12</v>
      </c>
      <c r="F238" s="57"/>
      <c r="G238" s="57"/>
      <c r="H238" s="54"/>
      <c r="I238" s="66">
        <v>46426</v>
      </c>
      <c r="J238" s="66">
        <f t="shared" si="19"/>
        <v>46432</v>
      </c>
      <c r="K238" s="66">
        <f t="shared" si="18"/>
        <v>46448</v>
      </c>
      <c r="L238" s="67"/>
      <c r="M238" s="68">
        <v>0</v>
      </c>
      <c r="N238" s="74"/>
      <c r="O238" s="61">
        <f t="shared" si="20"/>
        <v>46451</v>
      </c>
      <c r="P238" s="25">
        <f>VLOOKUP(A238,'הזמנות פתוחות'!A:D,4,0)</f>
        <v>46419</v>
      </c>
      <c r="Q238" s="62"/>
      <c r="R238" s="63" t="e">
        <v>#N/A</v>
      </c>
    </row>
    <row r="239" spans="1:18" x14ac:dyDescent="0.3">
      <c r="A239" s="91" t="s">
        <v>330</v>
      </c>
      <c r="B239" s="65"/>
      <c r="C239" s="54">
        <f>VLOOKUP(A239,קוביות!A:X,24,0)</f>
        <v>3028</v>
      </c>
      <c r="D239" s="54">
        <v>3028</v>
      </c>
      <c r="E239" s="80">
        <v>12</v>
      </c>
      <c r="F239" s="57"/>
      <c r="G239" s="57"/>
      <c r="H239" s="54"/>
      <c r="I239" s="66">
        <f>VLOOKUP(A239,'[1]תכנית ייצור'!$B:$H,7,0)</f>
        <v>46273</v>
      </c>
      <c r="J239" s="66">
        <f t="shared" si="19"/>
        <v>46279</v>
      </c>
      <c r="K239" s="66">
        <f t="shared" si="18"/>
        <v>46295</v>
      </c>
      <c r="L239" s="67"/>
      <c r="M239" s="68">
        <v>0</v>
      </c>
      <c r="N239" s="74"/>
      <c r="O239" s="61">
        <f t="shared" si="20"/>
        <v>46298</v>
      </c>
      <c r="P239" s="25">
        <f>VLOOKUP(A239,'הזמנות פתוחות'!A:D,4,0)</f>
        <v>46295</v>
      </c>
      <c r="Q239" s="126"/>
      <c r="R239" s="63">
        <v>0</v>
      </c>
    </row>
    <row r="240" spans="1:18" x14ac:dyDescent="0.3">
      <c r="A240" s="91" t="s">
        <v>328</v>
      </c>
      <c r="B240" s="65" t="s">
        <v>329</v>
      </c>
      <c r="C240" s="54">
        <f>VLOOKUP(A240,קוביות!A:X,24,0)</f>
        <v>3028</v>
      </c>
      <c r="D240" s="54">
        <v>3028</v>
      </c>
      <c r="E240" s="80">
        <v>12</v>
      </c>
      <c r="F240" s="57"/>
      <c r="G240" s="57"/>
      <c r="H240" s="54"/>
      <c r="I240" s="66">
        <v>46036</v>
      </c>
      <c r="J240" s="66">
        <f t="shared" si="19"/>
        <v>46042</v>
      </c>
      <c r="K240" s="66">
        <f t="shared" si="18"/>
        <v>46058</v>
      </c>
      <c r="L240" s="67"/>
      <c r="M240" s="68">
        <v>0</v>
      </c>
      <c r="N240" s="74"/>
      <c r="O240" s="61">
        <f t="shared" si="20"/>
        <v>46061</v>
      </c>
      <c r="P240" s="25">
        <f>VLOOKUP(A240,'הזמנות פתוחות'!A:D,4,0)</f>
        <v>46446</v>
      </c>
      <c r="Q240" s="62"/>
      <c r="R240" s="63">
        <v>0</v>
      </c>
    </row>
    <row r="241" spans="1:18" x14ac:dyDescent="0.3">
      <c r="A241" s="91" t="s">
        <v>335</v>
      </c>
      <c r="B241" s="99"/>
      <c r="C241" s="54">
        <f>VLOOKUP(A241,קוביות!A:X,24,0)</f>
        <v>3028</v>
      </c>
      <c r="D241" s="54">
        <v>3028</v>
      </c>
      <c r="E241" s="80">
        <v>12</v>
      </c>
      <c r="F241" s="80">
        <v>1</v>
      </c>
      <c r="G241" s="57" t="e">
        <f>#REF!+(E241/F241)</f>
        <v>#REF!</v>
      </c>
      <c r="H241" s="101"/>
      <c r="I241" s="66">
        <f>VLOOKUP(A241,'[1]תכנית ייצור'!$B:$H,7,0)</f>
        <v>46396</v>
      </c>
      <c r="J241" s="66">
        <f t="shared" si="19"/>
        <v>46402</v>
      </c>
      <c r="K241" s="66">
        <f t="shared" si="18"/>
        <v>46418</v>
      </c>
      <c r="L241" s="67"/>
      <c r="M241" s="68">
        <v>0</v>
      </c>
      <c r="N241" s="74"/>
      <c r="O241" s="61">
        <f t="shared" si="20"/>
        <v>46421</v>
      </c>
      <c r="P241" s="25">
        <f>VLOOKUP(A241,'הזמנות פתוחות'!A:D,4,0)</f>
        <v>46391</v>
      </c>
      <c r="Q241" s="62"/>
      <c r="R241" s="63">
        <v>0</v>
      </c>
    </row>
    <row r="242" spans="1:18" x14ac:dyDescent="0.3">
      <c r="A242" s="64" t="s">
        <v>336</v>
      </c>
      <c r="B242" s="65" t="s">
        <v>337</v>
      </c>
      <c r="C242" s="54">
        <f>VLOOKUP(A242,קוביות!A:X,24,0)</f>
        <v>3029</v>
      </c>
      <c r="D242" s="54">
        <v>3029</v>
      </c>
      <c r="E242" s="80">
        <v>29</v>
      </c>
      <c r="F242" s="57"/>
      <c r="G242" s="57"/>
      <c r="H242" s="54"/>
      <c r="I242" s="49" t="s">
        <v>382</v>
      </c>
      <c r="J242" s="41">
        <v>46253</v>
      </c>
      <c r="K242" s="66">
        <v>46273</v>
      </c>
      <c r="L242" s="67"/>
      <c r="M242" s="68" t="s">
        <v>381</v>
      </c>
      <c r="N242" s="70"/>
      <c r="O242" s="61">
        <f>K242+2</f>
        <v>46275</v>
      </c>
      <c r="P242" s="25">
        <f>VLOOKUP(A242,'הזמנות פתוחות'!A:D,4,0)</f>
        <v>46356</v>
      </c>
      <c r="Q242" s="62"/>
      <c r="R242" s="63">
        <v>0</v>
      </c>
    </row>
    <row r="243" spans="1:18" x14ac:dyDescent="0.3">
      <c r="A243" s="91" t="s">
        <v>341</v>
      </c>
      <c r="B243" s="65"/>
      <c r="C243" s="54">
        <f>VLOOKUP(A243,קוביות!A:X,24,0)</f>
        <v>3029</v>
      </c>
      <c r="D243" s="54">
        <v>3029</v>
      </c>
      <c r="E243" s="80">
        <v>12</v>
      </c>
      <c r="F243" s="57"/>
      <c r="G243" s="57"/>
      <c r="H243" s="54"/>
      <c r="I243" s="66">
        <f>VLOOKUP(A243,'[1]תכנית ייצור'!$B:$H,7,0)</f>
        <v>46280</v>
      </c>
      <c r="J243" s="66">
        <f t="shared" si="19"/>
        <v>46286</v>
      </c>
      <c r="K243" s="66">
        <f t="shared" si="18"/>
        <v>46302</v>
      </c>
      <c r="L243" s="67"/>
      <c r="M243" s="68">
        <v>0</v>
      </c>
      <c r="N243" s="74"/>
      <c r="O243" s="61">
        <f t="shared" si="20"/>
        <v>46305</v>
      </c>
      <c r="P243" s="25">
        <f>VLOOKUP(A243,'הזמנות פתוחות'!A:D,4,0)</f>
        <v>46377</v>
      </c>
      <c r="Q243" s="126"/>
      <c r="R243" s="63">
        <v>0</v>
      </c>
    </row>
    <row r="244" spans="1:18" x14ac:dyDescent="0.3">
      <c r="A244" s="91" t="s">
        <v>342</v>
      </c>
      <c r="B244" s="65"/>
      <c r="C244" s="54">
        <f>VLOOKUP(A244,קוביות!A:X,24,0)</f>
        <v>3029</v>
      </c>
      <c r="D244" s="54">
        <v>3029</v>
      </c>
      <c r="E244" s="80">
        <v>12</v>
      </c>
      <c r="F244" s="57"/>
      <c r="G244" s="57"/>
      <c r="H244" s="54"/>
      <c r="I244" s="66">
        <f>VLOOKUP(A244,'[1]תכנית ייצור'!$B:$H,7,0)</f>
        <v>46300</v>
      </c>
      <c r="J244" s="66">
        <f t="shared" si="19"/>
        <v>46306</v>
      </c>
      <c r="K244" s="66">
        <f t="shared" si="18"/>
        <v>46322</v>
      </c>
      <c r="L244" s="67"/>
      <c r="M244" s="68">
        <v>0</v>
      </c>
      <c r="N244" s="74"/>
      <c r="O244" s="61">
        <f t="shared" si="20"/>
        <v>46325</v>
      </c>
      <c r="P244" s="25">
        <f>VLOOKUP(A244,'הזמנות פתוחות'!A:D,4,0)</f>
        <v>46405</v>
      </c>
      <c r="Q244" s="126"/>
      <c r="R244" s="63">
        <v>0</v>
      </c>
    </row>
    <row r="245" spans="1:18" x14ac:dyDescent="0.3">
      <c r="A245" s="64" t="s">
        <v>343</v>
      </c>
      <c r="B245" s="65" t="s">
        <v>334</v>
      </c>
      <c r="C245" s="54">
        <f>VLOOKUP(A245,קוביות!A:X,24,0)</f>
        <v>3030</v>
      </c>
      <c r="D245" s="54">
        <v>3030</v>
      </c>
      <c r="E245" s="80">
        <v>12</v>
      </c>
      <c r="F245" s="57"/>
      <c r="G245" s="57"/>
      <c r="H245" s="54"/>
      <c r="I245" s="66" t="e">
        <f>VLOOKUP(A245,'[1]תכנית ייצור'!$D:$H,5,0)</f>
        <v>#N/A</v>
      </c>
      <c r="J245" s="66" t="e">
        <f t="shared" si="19"/>
        <v>#N/A</v>
      </c>
      <c r="K245" s="66" t="e">
        <f t="shared" si="18"/>
        <v>#N/A</v>
      </c>
      <c r="L245" s="67"/>
      <c r="M245" s="68">
        <v>0</v>
      </c>
      <c r="N245" s="74"/>
      <c r="O245" s="61" t="e">
        <f t="shared" si="20"/>
        <v>#N/A</v>
      </c>
      <c r="P245" s="25">
        <f>VLOOKUP(A245,'הזמנות פתוחות'!A:D,4,0)</f>
        <v>46448</v>
      </c>
      <c r="Q245" s="62"/>
      <c r="R245" s="63">
        <v>0</v>
      </c>
    </row>
    <row r="246" spans="1:18" x14ac:dyDescent="0.3">
      <c r="A246" s="91" t="s">
        <v>344</v>
      </c>
      <c r="B246" s="65"/>
      <c r="C246" s="54">
        <f>VLOOKUP(A246,קוביות!A:X,24,0)</f>
        <v>3030</v>
      </c>
      <c r="D246" s="54">
        <v>3030</v>
      </c>
      <c r="E246" s="80">
        <v>12</v>
      </c>
      <c r="F246" s="57"/>
      <c r="G246" s="57"/>
      <c r="H246" s="54"/>
      <c r="I246" s="66">
        <f>VLOOKUP(A246,'[1]תכנית ייצור'!$B:$H,7,0)</f>
        <v>46328</v>
      </c>
      <c r="J246" s="66">
        <f t="shared" si="19"/>
        <v>46334</v>
      </c>
      <c r="K246" s="66">
        <f t="shared" si="18"/>
        <v>46350</v>
      </c>
      <c r="L246" s="67"/>
      <c r="M246" s="68">
        <v>0</v>
      </c>
      <c r="N246" s="74"/>
      <c r="O246" s="61">
        <f t="shared" si="20"/>
        <v>46353</v>
      </c>
      <c r="P246" s="25">
        <f>VLOOKUP(A246,'הזמנות פתוחות'!A:D,4,0)</f>
        <v>46462</v>
      </c>
      <c r="Q246" s="126"/>
      <c r="R246" s="63">
        <v>0</v>
      </c>
    </row>
    <row r="247" spans="1:18" x14ac:dyDescent="0.3">
      <c r="A247" s="64" t="s">
        <v>350</v>
      </c>
      <c r="B247" s="65" t="s">
        <v>351</v>
      </c>
      <c r="C247" s="54">
        <f>VLOOKUP(A247,קוביות!A:X,24,0)</f>
        <v>3031</v>
      </c>
      <c r="D247" s="54">
        <v>3031</v>
      </c>
      <c r="E247" s="55">
        <v>12</v>
      </c>
      <c r="F247" s="57"/>
      <c r="G247" s="57"/>
      <c r="H247" s="54"/>
      <c r="I247" s="66">
        <f>VLOOKUP(A247,'[1]תכנית ייצור'!$B:$H,7,0)</f>
        <v>46287</v>
      </c>
      <c r="J247" s="66">
        <f t="shared" si="19"/>
        <v>46293</v>
      </c>
      <c r="K247" s="66">
        <f t="shared" si="18"/>
        <v>46309</v>
      </c>
      <c r="L247" s="67"/>
      <c r="M247" s="68">
        <v>0</v>
      </c>
      <c r="N247" s="86"/>
      <c r="O247" s="61">
        <v>46315</v>
      </c>
      <c r="P247" s="25">
        <v>46491</v>
      </c>
      <c r="Q247" s="62"/>
      <c r="R247" s="63"/>
    </row>
    <row r="248" spans="1:18" x14ac:dyDescent="0.3">
      <c r="A248" s="64" t="s">
        <v>352</v>
      </c>
      <c r="B248" s="65" t="s">
        <v>353</v>
      </c>
      <c r="C248" s="54">
        <f>VLOOKUP(A248,קוביות!A:X,24,0)</f>
        <v>3032</v>
      </c>
      <c r="D248" s="54">
        <v>3032</v>
      </c>
      <c r="E248" s="80">
        <v>12</v>
      </c>
      <c r="F248" s="57"/>
      <c r="G248" s="57"/>
      <c r="H248" s="54"/>
      <c r="I248" s="66">
        <v>46414</v>
      </c>
      <c r="J248" s="66">
        <f t="shared" si="19"/>
        <v>46420</v>
      </c>
      <c r="K248" s="66">
        <f>J248+14</f>
        <v>46434</v>
      </c>
      <c r="L248" s="67"/>
      <c r="M248" s="68">
        <v>0</v>
      </c>
      <c r="N248" s="74"/>
      <c r="O248" s="61">
        <f>K248+2</f>
        <v>46436</v>
      </c>
      <c r="P248" s="25">
        <v>46406</v>
      </c>
      <c r="Q248" s="62"/>
      <c r="R248" s="63">
        <v>0</v>
      </c>
    </row>
    <row r="249" spans="1:18" x14ac:dyDescent="0.3">
      <c r="A249" s="64" t="s">
        <v>355</v>
      </c>
      <c r="B249" s="65"/>
      <c r="C249" s="54">
        <f>VLOOKUP(A249,קוביות!A:X,24,0)</f>
        <v>3032</v>
      </c>
      <c r="D249" s="54">
        <v>3032</v>
      </c>
      <c r="E249" s="80">
        <v>12</v>
      </c>
      <c r="F249" s="57"/>
      <c r="G249" s="57"/>
      <c r="H249" s="54"/>
      <c r="I249" s="66">
        <v>46311</v>
      </c>
      <c r="J249" s="66">
        <f>I249+14</f>
        <v>46325</v>
      </c>
      <c r="K249" s="66">
        <f t="shared" si="18"/>
        <v>46341</v>
      </c>
      <c r="L249" s="67"/>
      <c r="M249" s="68">
        <v>0</v>
      </c>
      <c r="N249" s="70"/>
      <c r="O249" s="61">
        <f t="shared" si="20"/>
        <v>46344</v>
      </c>
      <c r="P249" s="25">
        <f>VLOOKUP(A249,'הזמנות פתוחות'!A:D,4,0)</f>
        <v>46408</v>
      </c>
      <c r="Q249" s="62"/>
      <c r="R249" s="63">
        <v>0</v>
      </c>
    </row>
    <row r="250" spans="1:18" x14ac:dyDescent="0.3">
      <c r="A250" s="64" t="s">
        <v>354</v>
      </c>
      <c r="B250" s="65"/>
      <c r="C250" s="54">
        <f>VLOOKUP(A250,קוביות!A:X,24,0)</f>
        <v>3032</v>
      </c>
      <c r="D250" s="54">
        <v>3032</v>
      </c>
      <c r="E250" s="80">
        <v>12</v>
      </c>
      <c r="F250" s="57"/>
      <c r="G250" s="57"/>
      <c r="H250" s="54"/>
      <c r="I250" s="66">
        <v>46301</v>
      </c>
      <c r="J250" s="66">
        <f>I250+14</f>
        <v>46315</v>
      </c>
      <c r="K250" s="66">
        <f t="shared" si="18"/>
        <v>46331</v>
      </c>
      <c r="L250" s="67"/>
      <c r="M250" s="68">
        <v>0</v>
      </c>
      <c r="N250" s="70"/>
      <c r="O250" s="61">
        <f t="shared" si="20"/>
        <v>46334</v>
      </c>
      <c r="P250" s="25">
        <f>VLOOKUP(A250,'הזמנות פתוחות'!A:D,4,0)</f>
        <v>46436</v>
      </c>
      <c r="Q250" s="62"/>
      <c r="R250" s="63">
        <v>0</v>
      </c>
    </row>
    <row r="251" spans="1:18" x14ac:dyDescent="0.3">
      <c r="A251" s="64" t="s">
        <v>339</v>
      </c>
      <c r="B251" s="65" t="s">
        <v>340</v>
      </c>
      <c r="C251" s="54">
        <f>VLOOKUP(A251,קוביות!A:X,24,0)</f>
        <v>3033</v>
      </c>
      <c r="D251" s="54">
        <v>3033</v>
      </c>
      <c r="E251" s="55">
        <v>15</v>
      </c>
      <c r="F251" s="57">
        <v>1</v>
      </c>
      <c r="G251" s="57" t="e">
        <f>#REF!+(E251/F251)</f>
        <v>#REF!</v>
      </c>
      <c r="H251" s="54"/>
      <c r="I251" s="66">
        <f>VLOOKUP(A251,'[1]תכנית ייצור'!$B:$H,7,0)</f>
        <v>46295</v>
      </c>
      <c r="J251" s="66">
        <f t="shared" si="19"/>
        <v>46301</v>
      </c>
      <c r="K251" s="66">
        <f t="shared" si="18"/>
        <v>46317</v>
      </c>
      <c r="L251" s="67"/>
      <c r="M251" s="68">
        <v>0</v>
      </c>
      <c r="N251" s="70"/>
      <c r="O251" s="61">
        <f t="shared" si="20"/>
        <v>46320</v>
      </c>
      <c r="P251" s="25">
        <f>VLOOKUP(A251,'הזמנות פתוחות'!A:D,4,0)</f>
        <v>46446</v>
      </c>
      <c r="Q251" s="62"/>
      <c r="R251" s="63">
        <v>0</v>
      </c>
    </row>
    <row r="252" spans="1:18" x14ac:dyDescent="0.3">
      <c r="A252" s="64" t="s">
        <v>356</v>
      </c>
      <c r="B252" s="65" t="s">
        <v>431</v>
      </c>
      <c r="C252" s="54">
        <f>VLOOKUP(A252,קוביות!A:X,24,0)</f>
        <v>3034</v>
      </c>
      <c r="D252" s="54">
        <v>3034</v>
      </c>
      <c r="E252" s="55">
        <v>12</v>
      </c>
      <c r="F252" s="57"/>
      <c r="G252" s="57"/>
      <c r="H252" s="54"/>
      <c r="I252" s="66">
        <f>VLOOKUP(A252,'[1]תכנית ייצור'!$B:$H,7,0)</f>
        <v>46321</v>
      </c>
      <c r="J252" s="66">
        <f>I252+15</f>
        <v>46336</v>
      </c>
      <c r="K252" s="66">
        <f t="shared" si="18"/>
        <v>46352</v>
      </c>
      <c r="L252" s="67"/>
      <c r="M252" s="68"/>
      <c r="N252" s="86"/>
      <c r="O252" s="61">
        <v>46351</v>
      </c>
      <c r="P252" s="25">
        <f>VLOOKUP(A252,'הזמנות פתוחות'!A:D,4,0)</f>
        <v>46456</v>
      </c>
      <c r="Q252" s="62"/>
      <c r="R252" s="63" t="s">
        <v>430</v>
      </c>
    </row>
    <row r="253" spans="1:18" x14ac:dyDescent="0.3">
      <c r="A253" s="91" t="s">
        <v>358</v>
      </c>
      <c r="B253" s="65"/>
      <c r="C253" s="54">
        <f>VLOOKUP(A253,קוביות!A:X,24,0)</f>
        <v>3036</v>
      </c>
      <c r="D253" s="54">
        <v>3036</v>
      </c>
      <c r="E253" s="80"/>
      <c r="F253" s="80"/>
      <c r="G253" s="57"/>
      <c r="H253" s="54"/>
      <c r="I253" s="40">
        <v>46215</v>
      </c>
      <c r="J253" s="66">
        <v>46252</v>
      </c>
      <c r="K253" s="66">
        <f t="shared" si="18"/>
        <v>46268</v>
      </c>
      <c r="L253" s="67"/>
      <c r="M253" s="68">
        <v>0</v>
      </c>
      <c r="N253" s="74"/>
      <c r="O253" s="61">
        <f t="shared" si="20"/>
        <v>46271</v>
      </c>
      <c r="P253" s="25">
        <v>46506</v>
      </c>
      <c r="Q253" s="62"/>
      <c r="R253" s="63" t="e">
        <v>#N/A</v>
      </c>
    </row>
    <row r="254" spans="1:18" ht="21.6" customHeight="1" x14ac:dyDescent="0.3">
      <c r="A254" s="91" t="s">
        <v>359</v>
      </c>
      <c r="B254" s="65"/>
      <c r="C254" s="54">
        <f>VLOOKUP(A254,קוביות!A:X,24,0)</f>
        <v>3049</v>
      </c>
      <c r="D254" s="54">
        <v>3049</v>
      </c>
      <c r="E254" s="55">
        <v>44</v>
      </c>
      <c r="F254" s="57"/>
      <c r="G254" s="57"/>
      <c r="H254" s="54"/>
      <c r="I254" s="153" t="s">
        <v>514</v>
      </c>
      <c r="J254" s="81"/>
      <c r="K254" s="66"/>
      <c r="L254" s="67"/>
      <c r="M254" s="68">
        <v>0</v>
      </c>
      <c r="N254" s="74"/>
      <c r="O254" s="74"/>
      <c r="P254" s="25">
        <v>46611</v>
      </c>
      <c r="Q254" s="126"/>
      <c r="R254" s="63">
        <v>0</v>
      </c>
    </row>
    <row r="255" spans="1:18" ht="43.2" x14ac:dyDescent="0.3">
      <c r="A255" s="36" t="s">
        <v>360</v>
      </c>
      <c r="B255" s="37"/>
      <c r="C255" s="38">
        <f>VLOOKUP(A255,קוביות!A:X,24,0)</f>
        <v>3050</v>
      </c>
      <c r="D255" s="38">
        <v>3050</v>
      </c>
      <c r="E255" s="46">
        <v>30</v>
      </c>
      <c r="F255" s="57"/>
      <c r="G255" s="57"/>
      <c r="H255" s="54"/>
      <c r="I255" s="40">
        <v>46159</v>
      </c>
      <c r="J255" s="40" t="e">
        <v>#N/A</v>
      </c>
      <c r="K255" s="40" t="e">
        <f t="shared" si="18"/>
        <v>#N/A</v>
      </c>
      <c r="L255" s="47"/>
      <c r="M255" s="48" t="s">
        <v>433</v>
      </c>
      <c r="N255" s="37" t="s">
        <v>380</v>
      </c>
      <c r="O255" s="50" t="e">
        <f t="shared" si="20"/>
        <v>#N/A</v>
      </c>
      <c r="P255" s="51">
        <f>VLOOKUP(A255,'הזמנות פתוחות'!A:D,4,0)</f>
        <v>46223</v>
      </c>
      <c r="Q255" s="51"/>
      <c r="R255" s="192" t="s">
        <v>820</v>
      </c>
    </row>
    <row r="256" spans="1:18" x14ac:dyDescent="0.3">
      <c r="A256" s="36" t="s">
        <v>434</v>
      </c>
      <c r="B256" s="37"/>
      <c r="C256" s="154" t="s">
        <v>435</v>
      </c>
      <c r="D256" s="154" t="s">
        <v>435</v>
      </c>
      <c r="E256" s="46">
        <v>50</v>
      </c>
      <c r="F256" s="49">
        <v>1</v>
      </c>
      <c r="G256" s="40" t="e">
        <f>#REF!+(E256/F256)</f>
        <v>#REF!</v>
      </c>
      <c r="H256" s="49"/>
      <c r="I256" s="49">
        <v>46184</v>
      </c>
      <c r="J256" s="40" t="e">
        <v>#N/A</v>
      </c>
      <c r="K256" s="40" t="e">
        <f t="shared" si="18"/>
        <v>#N/A</v>
      </c>
      <c r="L256" s="47"/>
      <c r="M256" s="48" t="s">
        <v>379</v>
      </c>
      <c r="N256" s="40"/>
      <c r="O256" s="190" t="e">
        <f t="shared" si="20"/>
        <v>#N/A</v>
      </c>
      <c r="P256" s="44" t="e">
        <f>VLOOKUP(A256,'הזמנות פתוחות'!A:D,4,0)</f>
        <v>#N/A</v>
      </c>
      <c r="Q256" s="37"/>
      <c r="R256" s="128" t="s">
        <v>818</v>
      </c>
    </row>
    <row r="257" spans="1:18" x14ac:dyDescent="0.3">
      <c r="A257" s="64" t="s">
        <v>437</v>
      </c>
      <c r="B257" s="65"/>
      <c r="C257" s="54" t="s">
        <v>435</v>
      </c>
      <c r="D257" s="54" t="s">
        <v>435</v>
      </c>
      <c r="E257" s="55">
        <v>21</v>
      </c>
      <c r="F257" s="57"/>
      <c r="G257" s="57"/>
      <c r="H257" s="54"/>
      <c r="I257" s="40">
        <v>46215</v>
      </c>
      <c r="J257" s="66">
        <v>46251</v>
      </c>
      <c r="K257" s="66">
        <f t="shared" ref="K257:K260" si="21">J257+16</f>
        <v>46267</v>
      </c>
      <c r="L257" s="67"/>
      <c r="M257" s="68" t="s">
        <v>528</v>
      </c>
      <c r="N257" s="86"/>
      <c r="O257" s="61">
        <f>K257+2</f>
        <v>46269</v>
      </c>
      <c r="P257" s="25">
        <f>VLOOKUP(A257,'הזמנות פתוחות'!A:D,4,0)</f>
        <v>46252</v>
      </c>
      <c r="Q257" s="62"/>
      <c r="R257" s="63" t="s">
        <v>523</v>
      </c>
    </row>
    <row r="258" spans="1:18" ht="25.2" customHeight="1" x14ac:dyDescent="0.3">
      <c r="A258" s="156" t="s">
        <v>438</v>
      </c>
      <c r="B258" s="65"/>
      <c r="C258" s="54" t="s">
        <v>435</v>
      </c>
      <c r="D258" s="54" t="s">
        <v>435</v>
      </c>
      <c r="E258" s="80">
        <v>24</v>
      </c>
      <c r="F258" s="80">
        <v>1</v>
      </c>
      <c r="G258" s="57" t="e">
        <f>#REF!+(E258/F258)</f>
        <v>#REF!</v>
      </c>
      <c r="H258" s="54"/>
      <c r="I258" s="40" t="s">
        <v>382</v>
      </c>
      <c r="J258" s="40" t="s">
        <v>382</v>
      </c>
      <c r="K258" s="40">
        <v>46250</v>
      </c>
      <c r="L258" s="67">
        <v>46260</v>
      </c>
      <c r="M258" s="68" t="s">
        <v>529</v>
      </c>
      <c r="N258" s="74"/>
      <c r="O258" s="61">
        <v>46261</v>
      </c>
      <c r="P258" s="25">
        <f>VLOOKUP(A258,'הזמנות פתוחות'!A:D,4,0)</f>
        <v>46245</v>
      </c>
      <c r="Q258" s="62"/>
      <c r="R258" s="63" t="s">
        <v>530</v>
      </c>
    </row>
    <row r="259" spans="1:18" x14ac:dyDescent="0.3">
      <c r="A259" s="156" t="s">
        <v>439</v>
      </c>
      <c r="B259" s="65"/>
      <c r="C259" s="54" t="s">
        <v>435</v>
      </c>
      <c r="D259" s="54" t="s">
        <v>435</v>
      </c>
      <c r="E259" s="80">
        <v>12</v>
      </c>
      <c r="F259" s="80">
        <v>1</v>
      </c>
      <c r="G259" s="57" t="e">
        <f>#REF!+(E259/F259)</f>
        <v>#REF!</v>
      </c>
      <c r="H259" s="54"/>
      <c r="I259" s="66">
        <f>VLOOKUP(A259,'[1]תכנית ייצור'!$B:$H,7,0)</f>
        <v>46266</v>
      </c>
      <c r="J259" s="66">
        <f t="shared" ref="J259" si="22">I259+6</f>
        <v>46272</v>
      </c>
      <c r="K259" s="66">
        <f t="shared" si="21"/>
        <v>46288</v>
      </c>
      <c r="L259" s="67"/>
      <c r="M259" s="68">
        <v>0</v>
      </c>
      <c r="N259" s="97"/>
      <c r="O259" s="61">
        <f t="shared" si="20"/>
        <v>46291</v>
      </c>
      <c r="P259" s="25">
        <f>VLOOKUP(A259,'הזמנות פתוחות'!A:D,4,0)</f>
        <v>46273</v>
      </c>
      <c r="Q259" s="62"/>
      <c r="R259" s="63">
        <v>0</v>
      </c>
    </row>
    <row r="260" spans="1:18" x14ac:dyDescent="0.3">
      <c r="A260" s="156" t="s">
        <v>441</v>
      </c>
      <c r="B260" s="65"/>
      <c r="C260" s="54" t="s">
        <v>435</v>
      </c>
      <c r="D260" s="54" t="s">
        <v>435</v>
      </c>
      <c r="E260" s="80">
        <v>12</v>
      </c>
      <c r="F260" s="80">
        <v>1</v>
      </c>
      <c r="G260" s="57" t="e">
        <f>#REF!+(E260/F260)</f>
        <v>#REF!</v>
      </c>
      <c r="H260" s="54"/>
      <c r="I260" s="66">
        <f>VLOOKUP(A260,'[1]תכנית ייצור'!$B:$H,7,0)</f>
        <v>46287</v>
      </c>
      <c r="J260" s="66">
        <f t="shared" ref="J260" si="23">I260+6</f>
        <v>46293</v>
      </c>
      <c r="K260" s="66">
        <f t="shared" si="21"/>
        <v>46309</v>
      </c>
      <c r="L260" s="67"/>
      <c r="M260" s="68">
        <v>0</v>
      </c>
      <c r="N260" s="74"/>
      <c r="O260" s="61">
        <f t="shared" si="20"/>
        <v>46312</v>
      </c>
      <c r="P260" s="25">
        <f>VLOOKUP(A260,'הזמנות פתוחות'!A:D,4,0)</f>
        <v>46295</v>
      </c>
      <c r="Q260" s="62"/>
      <c r="R260" s="63">
        <v>0</v>
      </c>
    </row>
    <row r="261" spans="1:18" ht="28.8" x14ac:dyDescent="0.3">
      <c r="A261" s="156" t="s">
        <v>445</v>
      </c>
      <c r="B261" s="65"/>
      <c r="C261" s="54" t="s">
        <v>435</v>
      </c>
      <c r="D261" s="54" t="s">
        <v>435</v>
      </c>
      <c r="E261" s="55">
        <v>336</v>
      </c>
      <c r="F261" s="57"/>
      <c r="G261" s="57"/>
      <c r="H261" s="54"/>
      <c r="I261" s="153" t="s">
        <v>514</v>
      </c>
      <c r="J261" s="81"/>
      <c r="K261" s="66"/>
      <c r="L261" s="67"/>
      <c r="M261" s="68">
        <v>0</v>
      </c>
      <c r="N261" s="70"/>
      <c r="O261" s="153" t="s">
        <v>514</v>
      </c>
      <c r="P261" s="25">
        <v>46204</v>
      </c>
      <c r="Q261" s="157"/>
      <c r="R261" s="192" t="s">
        <v>821</v>
      </c>
    </row>
    <row r="262" spans="1:18" ht="28.8" x14ac:dyDescent="0.3">
      <c r="A262" s="156" t="s">
        <v>446</v>
      </c>
      <c r="B262" s="65"/>
      <c r="C262" s="54" t="s">
        <v>435</v>
      </c>
      <c r="D262" s="54" t="s">
        <v>435</v>
      </c>
      <c r="E262" s="55">
        <v>168</v>
      </c>
      <c r="F262" s="57"/>
      <c r="G262" s="57"/>
      <c r="H262" s="54"/>
      <c r="I262" s="153" t="s">
        <v>514</v>
      </c>
      <c r="J262" s="81"/>
      <c r="K262" s="66"/>
      <c r="L262" s="67"/>
      <c r="M262" s="68">
        <v>0</v>
      </c>
      <c r="N262" s="70"/>
      <c r="O262" s="153" t="s">
        <v>514</v>
      </c>
      <c r="P262" s="25">
        <v>46234</v>
      </c>
      <c r="Q262" s="157"/>
      <c r="R262" s="192" t="s">
        <v>821</v>
      </c>
    </row>
    <row r="263" spans="1:18" x14ac:dyDescent="0.3">
      <c r="A263" s="156" t="s">
        <v>447</v>
      </c>
      <c r="B263" s="65"/>
      <c r="C263" s="54" t="s">
        <v>435</v>
      </c>
      <c r="D263" s="54" t="s">
        <v>435</v>
      </c>
      <c r="E263" s="55">
        <v>12</v>
      </c>
      <c r="F263" s="57"/>
      <c r="G263" s="57"/>
      <c r="H263" s="54"/>
      <c r="I263" s="153" t="s">
        <v>514</v>
      </c>
      <c r="J263" s="81"/>
      <c r="K263" s="66"/>
      <c r="L263" s="67"/>
      <c r="M263" s="68">
        <v>0</v>
      </c>
      <c r="N263" s="70"/>
      <c r="O263" s="153" t="s">
        <v>514</v>
      </c>
      <c r="P263" s="25">
        <v>46427</v>
      </c>
      <c r="Q263" s="157"/>
      <c r="R263" s="63"/>
    </row>
    <row r="264" spans="1:18" x14ac:dyDescent="0.3">
      <c r="A264" s="156" t="s">
        <v>448</v>
      </c>
      <c r="B264" s="65"/>
      <c r="C264" s="54" t="s">
        <v>435</v>
      </c>
      <c r="D264" s="54" t="s">
        <v>435</v>
      </c>
      <c r="E264" s="55">
        <v>12</v>
      </c>
      <c r="F264" s="57"/>
      <c r="G264" s="57"/>
      <c r="H264" s="54"/>
      <c r="I264" s="153" t="s">
        <v>514</v>
      </c>
      <c r="J264" s="81"/>
      <c r="K264" s="66"/>
      <c r="L264" s="67"/>
      <c r="M264" s="68">
        <v>0</v>
      </c>
      <c r="N264" s="70"/>
      <c r="O264" s="153" t="s">
        <v>514</v>
      </c>
      <c r="P264" s="25">
        <v>46427</v>
      </c>
      <c r="Q264" s="157"/>
      <c r="R264" s="63"/>
    </row>
    <row r="265" spans="1:18" x14ac:dyDescent="0.3">
      <c r="A265" s="191" t="s">
        <v>449</v>
      </c>
      <c r="B265" s="65"/>
      <c r="C265" s="54" t="s">
        <v>435</v>
      </c>
      <c r="D265" s="54" t="s">
        <v>435</v>
      </c>
      <c r="E265" s="55"/>
      <c r="F265" s="57"/>
      <c r="G265" s="57"/>
      <c r="H265" s="54"/>
      <c r="I265" s="113" t="s">
        <v>432</v>
      </c>
      <c r="J265" s="81"/>
      <c r="K265" s="66"/>
      <c r="L265" s="67"/>
      <c r="M265" s="68">
        <v>0</v>
      </c>
      <c r="N265" s="70"/>
      <c r="O265" s="153" t="s">
        <v>432</v>
      </c>
      <c r="P265" s="25" t="e">
        <f>VLOOKUP(A265,'הזמנות פתוחות'!A:D,4,0)</f>
        <v>#N/A</v>
      </c>
      <c r="Q265" s="157"/>
      <c r="R265" s="63" t="s">
        <v>432</v>
      </c>
    </row>
    <row r="266" spans="1:18" ht="28.8" x14ac:dyDescent="0.3">
      <c r="A266" s="156" t="s">
        <v>450</v>
      </c>
      <c r="B266" s="65"/>
      <c r="C266" s="54" t="s">
        <v>435</v>
      </c>
      <c r="D266" s="54" t="s">
        <v>435</v>
      </c>
      <c r="E266" s="55">
        <v>12</v>
      </c>
      <c r="F266" s="57"/>
      <c r="G266" s="57"/>
      <c r="H266" s="54"/>
      <c r="I266" s="153" t="s">
        <v>514</v>
      </c>
      <c r="J266" s="81"/>
      <c r="K266" s="66"/>
      <c r="L266" s="67"/>
      <c r="M266" s="68">
        <v>0</v>
      </c>
      <c r="N266" s="70"/>
      <c r="O266" s="153" t="s">
        <v>514</v>
      </c>
      <c r="P266" s="25">
        <f>VLOOKUP(A266,'הזמנות פתוחות'!A:D,4,0)</f>
        <v>46204</v>
      </c>
      <c r="Q266" s="157"/>
      <c r="R266" s="192" t="s">
        <v>821</v>
      </c>
    </row>
    <row r="267" spans="1:18" ht="28.8" x14ac:dyDescent="0.3">
      <c r="A267" s="156" t="s">
        <v>451</v>
      </c>
      <c r="B267" s="65"/>
      <c r="C267" s="54" t="s">
        <v>435</v>
      </c>
      <c r="D267" s="54" t="s">
        <v>435</v>
      </c>
      <c r="E267" s="55">
        <v>12</v>
      </c>
      <c r="F267" s="57"/>
      <c r="G267" s="57"/>
      <c r="H267" s="54"/>
      <c r="I267" s="153" t="s">
        <v>514</v>
      </c>
      <c r="J267" s="81"/>
      <c r="K267" s="66"/>
      <c r="L267" s="67"/>
      <c r="M267" s="68">
        <v>0</v>
      </c>
      <c r="N267" s="70"/>
      <c r="O267" s="153" t="s">
        <v>514</v>
      </c>
      <c r="P267" s="25">
        <f>VLOOKUP(A267,'הזמנות פתוחות'!A:D,4,0)</f>
        <v>46204</v>
      </c>
      <c r="Q267" s="157"/>
      <c r="R267" s="192" t="s">
        <v>821</v>
      </c>
    </row>
    <row r="268" spans="1:18" ht="28.8" x14ac:dyDescent="0.3">
      <c r="A268" s="156" t="s">
        <v>452</v>
      </c>
      <c r="B268" s="65"/>
      <c r="C268" s="54" t="s">
        <v>435</v>
      </c>
      <c r="D268" s="54" t="s">
        <v>435</v>
      </c>
      <c r="E268" s="55">
        <v>12</v>
      </c>
      <c r="F268" s="57"/>
      <c r="G268" s="57"/>
      <c r="H268" s="54"/>
      <c r="I268" s="153" t="s">
        <v>514</v>
      </c>
      <c r="J268" s="81"/>
      <c r="K268" s="66"/>
      <c r="L268" s="67"/>
      <c r="M268" s="68">
        <v>0</v>
      </c>
      <c r="N268" s="70"/>
      <c r="O268" s="153" t="s">
        <v>514</v>
      </c>
      <c r="P268" s="25">
        <f>VLOOKUP(A268,'הזמנות פתוחות'!A:D,4,0)</f>
        <v>46204</v>
      </c>
      <c r="Q268" s="157"/>
      <c r="R268" s="192" t="s">
        <v>821</v>
      </c>
    </row>
    <row r="269" spans="1:18" ht="28.8" x14ac:dyDescent="0.3">
      <c r="A269" s="156" t="s">
        <v>453</v>
      </c>
      <c r="B269" s="65"/>
      <c r="C269" s="54" t="s">
        <v>435</v>
      </c>
      <c r="D269" s="54" t="s">
        <v>435</v>
      </c>
      <c r="E269" s="55">
        <v>1</v>
      </c>
      <c r="F269" s="57"/>
      <c r="G269" s="57"/>
      <c r="H269" s="54"/>
      <c r="I269" s="153" t="s">
        <v>514</v>
      </c>
      <c r="J269" s="81"/>
      <c r="K269" s="66"/>
      <c r="L269" s="67"/>
      <c r="M269" s="68">
        <v>0</v>
      </c>
      <c r="N269" s="70"/>
      <c r="O269" s="153" t="s">
        <v>514</v>
      </c>
      <c r="P269" s="25">
        <f>VLOOKUP(A269,'הזמנות פתוחות'!A:D,4,0)</f>
        <v>46204</v>
      </c>
      <c r="Q269" s="157"/>
      <c r="R269" s="192" t="s">
        <v>821</v>
      </c>
    </row>
    <row r="270" spans="1:18" x14ac:dyDescent="0.3">
      <c r="A270" s="158" t="s">
        <v>458</v>
      </c>
      <c r="B270" s="65"/>
      <c r="C270" s="54" t="e">
        <f>VLOOKUP(A270,קוביות!A:X,24,0)</f>
        <v>#N/A</v>
      </c>
      <c r="D270" s="54" t="e">
        <v>#N/A</v>
      </c>
      <c r="E270" s="80">
        <v>12</v>
      </c>
      <c r="F270" s="57"/>
      <c r="G270" s="57"/>
      <c r="H270" s="54"/>
      <c r="I270" s="66">
        <f>VLOOKUP(A270,'[1]תכנית ייצור'!$B:$H,7,0)</f>
        <v>46270</v>
      </c>
      <c r="J270" s="66">
        <f t="shared" ref="J270" si="24">I270+6</f>
        <v>46276</v>
      </c>
      <c r="K270" s="66">
        <f t="shared" ref="K270" si="25">J270+16</f>
        <v>46292</v>
      </c>
      <c r="L270" s="67"/>
      <c r="M270" s="68">
        <v>0</v>
      </c>
      <c r="N270" s="74"/>
      <c r="O270" s="61">
        <f t="shared" si="20"/>
        <v>46295</v>
      </c>
      <c r="P270" s="25">
        <f>VLOOKUP(A270,'הזמנות פתוחות'!A:D,4,0)</f>
        <v>46322</v>
      </c>
      <c r="Q270" s="126"/>
      <c r="R270" s="63">
        <v>0</v>
      </c>
    </row>
    <row r="271" spans="1:18" x14ac:dyDescent="0.3">
      <c r="A271" s="91" t="s">
        <v>459</v>
      </c>
      <c r="B271" s="65"/>
      <c r="C271" s="54" t="e">
        <f>VLOOKUP(A271,קוביות!A:X,24,0)</f>
        <v>#N/A</v>
      </c>
      <c r="D271" s="54" t="e">
        <v>#N/A</v>
      </c>
      <c r="E271" s="55">
        <v>10</v>
      </c>
      <c r="F271" s="57"/>
      <c r="G271" s="57"/>
      <c r="H271" s="54"/>
      <c r="I271" s="153"/>
      <c r="J271" s="81"/>
      <c r="K271" s="66"/>
      <c r="L271" s="67"/>
      <c r="M271" s="68">
        <v>0</v>
      </c>
      <c r="N271" s="74"/>
      <c r="O271" s="25">
        <v>46489</v>
      </c>
      <c r="P271" s="25">
        <v>46489</v>
      </c>
      <c r="Q271" s="159"/>
      <c r="R271" s="63"/>
    </row>
    <row r="272" spans="1:18" x14ac:dyDescent="0.3">
      <c r="A272" s="64" t="s">
        <v>460</v>
      </c>
      <c r="B272" s="99"/>
      <c r="C272" s="54" t="e">
        <f>VLOOKUP(A272,קוביות!A:X,24,0)</f>
        <v>#N/A</v>
      </c>
      <c r="D272" s="54" t="e">
        <v>#N/A</v>
      </c>
      <c r="E272" s="55">
        <v>2</v>
      </c>
      <c r="F272" s="80">
        <v>1</v>
      </c>
      <c r="G272" s="57" t="e">
        <f>#REF!+(E272/F272)</f>
        <v>#REF!</v>
      </c>
      <c r="H272" s="101"/>
      <c r="I272" s="153"/>
      <c r="J272" s="81"/>
      <c r="K272" s="66"/>
      <c r="L272" s="67"/>
      <c r="M272" s="68">
        <v>0</v>
      </c>
      <c r="N272" s="74"/>
      <c r="O272" s="25">
        <v>46729</v>
      </c>
      <c r="P272" s="25">
        <v>46729</v>
      </c>
      <c r="Q272" s="62"/>
      <c r="R272" s="63">
        <v>0</v>
      </c>
    </row>
    <row r="273" spans="1:18" x14ac:dyDescent="0.3">
      <c r="A273" s="78" t="s">
        <v>461</v>
      </c>
      <c r="B273" s="65"/>
      <c r="C273" s="54" t="e">
        <f>VLOOKUP(A273,קוביות!A:X,24,0)</f>
        <v>#N/A</v>
      </c>
      <c r="D273" s="54" t="e">
        <v>#N/A</v>
      </c>
      <c r="E273" s="55">
        <v>24</v>
      </c>
      <c r="F273" s="57"/>
      <c r="G273" s="57"/>
      <c r="H273" s="54"/>
      <c r="I273" s="66">
        <f>VLOOKUP(A273,'[1]תכנית ייצור'!$B:$H,7,0)</f>
        <v>46275</v>
      </c>
      <c r="J273" s="66">
        <f t="shared" ref="J273:J287" si="26">I273+6</f>
        <v>46281</v>
      </c>
      <c r="K273" s="66">
        <f t="shared" ref="K273:K287" si="27">J273+16</f>
        <v>46297</v>
      </c>
      <c r="L273" s="67"/>
      <c r="M273" s="68">
        <v>0</v>
      </c>
      <c r="N273" s="74"/>
      <c r="O273" s="61">
        <f t="shared" si="20"/>
        <v>46300</v>
      </c>
      <c r="P273" s="25">
        <v>46604</v>
      </c>
      <c r="Q273" s="126"/>
      <c r="R273" s="63"/>
    </row>
    <row r="274" spans="1:18" x14ac:dyDescent="0.3">
      <c r="A274" s="64" t="s">
        <v>462</v>
      </c>
      <c r="B274" s="65"/>
      <c r="C274" s="54" t="e">
        <f>VLOOKUP(A274,קוביות!A:X,24,0)</f>
        <v>#N/A</v>
      </c>
      <c r="D274" s="54" t="e">
        <v>#N/A</v>
      </c>
      <c r="E274" s="80">
        <v>12</v>
      </c>
      <c r="F274" s="57"/>
      <c r="G274" s="57"/>
      <c r="H274" s="54"/>
      <c r="I274" s="66">
        <f>VLOOKUP(A274,'[1]תכנית ייצור'!$B:$H,7,0)</f>
        <v>46332</v>
      </c>
      <c r="J274" s="66">
        <f t="shared" si="26"/>
        <v>46338</v>
      </c>
      <c r="K274" s="66">
        <f t="shared" si="27"/>
        <v>46354</v>
      </c>
      <c r="L274" s="67"/>
      <c r="M274" s="68">
        <v>0</v>
      </c>
      <c r="N274" s="74"/>
      <c r="O274" s="61">
        <f t="shared" si="20"/>
        <v>46357</v>
      </c>
      <c r="P274" s="25">
        <v>46693</v>
      </c>
      <c r="Q274" s="62"/>
      <c r="R274" s="63">
        <v>0</v>
      </c>
    </row>
    <row r="275" spans="1:18" x14ac:dyDescent="0.3">
      <c r="A275" s="64" t="s">
        <v>463</v>
      </c>
      <c r="B275" s="99"/>
      <c r="C275" s="54" t="e">
        <f>VLOOKUP(A275,קוביות!A:X,24,0)</f>
        <v>#N/A</v>
      </c>
      <c r="D275" s="54" t="e">
        <v>#N/A</v>
      </c>
      <c r="E275" s="80">
        <v>12</v>
      </c>
      <c r="F275" s="99">
        <v>1</v>
      </c>
      <c r="G275" s="57" t="e">
        <f>#REF!+(E275/F275)</f>
        <v>#REF!</v>
      </c>
      <c r="H275" s="101"/>
      <c r="I275" s="66">
        <v>46285</v>
      </c>
      <c r="J275" s="66">
        <f t="shared" si="26"/>
        <v>46291</v>
      </c>
      <c r="K275" s="66">
        <f t="shared" si="27"/>
        <v>46307</v>
      </c>
      <c r="L275" s="67"/>
      <c r="M275" s="68">
        <v>0</v>
      </c>
      <c r="N275" s="74"/>
      <c r="O275" s="61">
        <v>46310</v>
      </c>
      <c r="P275" s="25">
        <v>46268</v>
      </c>
      <c r="Q275" s="62"/>
      <c r="R275" s="63"/>
    </row>
    <row r="276" spans="1:18" x14ac:dyDescent="0.3">
      <c r="A276" s="91" t="s">
        <v>464</v>
      </c>
      <c r="B276" s="65"/>
      <c r="C276" s="54" t="e">
        <f>VLOOKUP(A276,קוביות!A:X,24,0)</f>
        <v>#N/A</v>
      </c>
      <c r="D276" s="54" t="e">
        <v>#N/A</v>
      </c>
      <c r="E276" s="80">
        <v>12</v>
      </c>
      <c r="F276" s="57"/>
      <c r="G276" s="57"/>
      <c r="H276" s="54"/>
      <c r="I276" s="66">
        <f>VLOOKUP(A276,'[1]תכנית ייצור'!$B:$H,7,0)</f>
        <v>46450</v>
      </c>
      <c r="J276" s="66">
        <f t="shared" si="26"/>
        <v>46456</v>
      </c>
      <c r="K276" s="66">
        <f t="shared" si="27"/>
        <v>46472</v>
      </c>
      <c r="L276" s="67"/>
      <c r="M276" s="68">
        <v>0</v>
      </c>
      <c r="N276" s="74"/>
      <c r="O276" s="61">
        <f t="shared" si="20"/>
        <v>46475</v>
      </c>
      <c r="P276" s="25">
        <v>46590</v>
      </c>
      <c r="Q276" s="126"/>
      <c r="R276" s="63">
        <v>0</v>
      </c>
    </row>
    <row r="277" spans="1:18" x14ac:dyDescent="0.3">
      <c r="A277" s="91" t="s">
        <v>465</v>
      </c>
      <c r="B277" s="65"/>
      <c r="C277" s="54" t="e">
        <f>VLOOKUP(A277,קוביות!A:X,24,0)</f>
        <v>#N/A</v>
      </c>
      <c r="D277" s="54" t="e">
        <v>#N/A</v>
      </c>
      <c r="E277" s="80">
        <v>12</v>
      </c>
      <c r="F277" s="57"/>
      <c r="G277" s="57"/>
      <c r="H277" s="54"/>
      <c r="I277" s="66">
        <v>46327</v>
      </c>
      <c r="J277" s="66">
        <f t="shared" si="26"/>
        <v>46333</v>
      </c>
      <c r="K277" s="66">
        <f t="shared" si="27"/>
        <v>46349</v>
      </c>
      <c r="L277" s="67"/>
      <c r="M277" s="68">
        <v>0</v>
      </c>
      <c r="N277" s="74"/>
      <c r="O277" s="61">
        <f t="shared" si="20"/>
        <v>46352</v>
      </c>
      <c r="P277" s="25">
        <v>46524</v>
      </c>
      <c r="Q277" s="126"/>
      <c r="R277" s="63">
        <v>0</v>
      </c>
    </row>
    <row r="278" spans="1:18" x14ac:dyDescent="0.3">
      <c r="A278" s="156" t="s">
        <v>466</v>
      </c>
      <c r="B278" s="65"/>
      <c r="C278" s="54" t="e">
        <f>VLOOKUP(A278,קוביות!A:X,24,0)</f>
        <v>#N/A</v>
      </c>
      <c r="D278" s="54" t="e">
        <v>#N/A</v>
      </c>
      <c r="E278" s="80">
        <v>6</v>
      </c>
      <c r="F278" s="57"/>
      <c r="G278" s="57"/>
      <c r="H278" s="54"/>
      <c r="I278" s="66">
        <f>VLOOKUP(A278,'[1]תכנית ייצור'!$B:$H,7,0)</f>
        <v>46292</v>
      </c>
      <c r="J278" s="66">
        <f t="shared" si="26"/>
        <v>46298</v>
      </c>
      <c r="K278" s="66">
        <f t="shared" si="27"/>
        <v>46314</v>
      </c>
      <c r="L278" s="67"/>
      <c r="M278" s="68">
        <v>0</v>
      </c>
      <c r="N278" s="74"/>
      <c r="O278" s="61">
        <f t="shared" si="20"/>
        <v>46317</v>
      </c>
      <c r="P278" s="25">
        <v>46604</v>
      </c>
      <c r="Q278" s="126"/>
      <c r="R278" s="63"/>
    </row>
    <row r="279" spans="1:18" ht="31.2" x14ac:dyDescent="0.3">
      <c r="A279" s="160" t="s">
        <v>467</v>
      </c>
      <c r="B279" s="107" t="s">
        <v>468</v>
      </c>
      <c r="C279" s="54" t="e">
        <f>VLOOKUP(A279,קוביות!A:X,24,0)</f>
        <v>#N/A</v>
      </c>
      <c r="D279" s="54" t="e">
        <v>#N/A</v>
      </c>
      <c r="E279" s="55">
        <v>17</v>
      </c>
      <c r="F279" s="57">
        <v>2</v>
      </c>
      <c r="G279" s="57" t="e">
        <f>#REF!+(E279/F279)</f>
        <v>#REF!</v>
      </c>
      <c r="H279" s="92" t="s">
        <v>469</v>
      </c>
      <c r="I279" s="40">
        <v>46174</v>
      </c>
      <c r="J279" s="40" t="s">
        <v>382</v>
      </c>
      <c r="K279" s="40">
        <v>46264</v>
      </c>
      <c r="L279" s="67"/>
      <c r="M279" s="68" t="s">
        <v>534</v>
      </c>
      <c r="N279" s="84" t="s">
        <v>378</v>
      </c>
      <c r="O279" s="61">
        <v>46269</v>
      </c>
      <c r="P279" s="25">
        <f>VLOOKUP(A279,'הזמנות פתוחות'!A:D,4,0)</f>
        <v>46264</v>
      </c>
      <c r="Q279" s="62"/>
      <c r="R279" s="63" t="s">
        <v>384</v>
      </c>
    </row>
    <row r="280" spans="1:18" x14ac:dyDescent="0.3">
      <c r="A280" s="78" t="s">
        <v>470</v>
      </c>
      <c r="B280" s="101"/>
      <c r="C280" s="54" t="e">
        <f>VLOOKUP(A280,קוביות!A:X,24,0)</f>
        <v>#N/A</v>
      </c>
      <c r="D280" s="54" t="e">
        <v>#N/A</v>
      </c>
      <c r="E280" s="80">
        <v>14</v>
      </c>
      <c r="F280" s="101">
        <v>1</v>
      </c>
      <c r="G280" s="57" t="e">
        <f>#REF!+(E280/F280)</f>
        <v>#REF!</v>
      </c>
      <c r="H280" s="57"/>
      <c r="I280" s="66">
        <f>VLOOKUP(A280,'[1]תכנית ייצור'!$B:$H,7,0)</f>
        <v>46301</v>
      </c>
      <c r="J280" s="66">
        <f t="shared" si="26"/>
        <v>46307</v>
      </c>
      <c r="K280" s="66">
        <f t="shared" si="27"/>
        <v>46323</v>
      </c>
      <c r="L280" s="67"/>
      <c r="M280" s="68">
        <v>0</v>
      </c>
      <c r="N280" s="90"/>
      <c r="O280" s="61">
        <f t="shared" si="20"/>
        <v>46326</v>
      </c>
      <c r="P280" s="25">
        <f>VLOOKUP(A280,'הזמנות פתוחות'!A:D,4,0)</f>
        <v>46355</v>
      </c>
      <c r="Q280" s="62"/>
      <c r="R280" s="63">
        <v>0</v>
      </c>
    </row>
    <row r="281" spans="1:18" x14ac:dyDescent="0.3">
      <c r="A281" s="156" t="s">
        <v>471</v>
      </c>
      <c r="B281" s="99"/>
      <c r="C281" s="54" t="e">
        <f>VLOOKUP(A281,קוביות!A:X,24,0)</f>
        <v>#N/A</v>
      </c>
      <c r="D281" s="54" t="e">
        <v>#N/A</v>
      </c>
      <c r="E281" s="80">
        <v>12</v>
      </c>
      <c r="F281" s="57">
        <v>1</v>
      </c>
      <c r="G281" s="57" t="e">
        <f>#REF!+(E281/F281)</f>
        <v>#REF!</v>
      </c>
      <c r="H281" s="101"/>
      <c r="I281" s="66">
        <f>VLOOKUP(A281,'[1]תכנית ייצור'!$B:$H,7,0)</f>
        <v>46250</v>
      </c>
      <c r="J281" s="66">
        <f t="shared" si="26"/>
        <v>46256</v>
      </c>
      <c r="K281" s="66">
        <f t="shared" si="27"/>
        <v>46272</v>
      </c>
      <c r="L281" s="67"/>
      <c r="M281" s="68">
        <v>0</v>
      </c>
      <c r="N281" s="74"/>
      <c r="O281" s="61">
        <f t="shared" si="20"/>
        <v>46275</v>
      </c>
      <c r="P281" s="25">
        <f>VLOOKUP(A281,'הזמנות פתוחות'!A:D,4,0)</f>
        <v>46280</v>
      </c>
      <c r="Q281" s="62"/>
      <c r="R281" s="63">
        <v>0</v>
      </c>
    </row>
    <row r="282" spans="1:18" x14ac:dyDescent="0.3">
      <c r="A282" s="156" t="s">
        <v>472</v>
      </c>
      <c r="B282" s="65"/>
      <c r="C282" s="54" t="e">
        <f>VLOOKUP(A282,קוביות!A:X,24,0)</f>
        <v>#N/A</v>
      </c>
      <c r="D282" s="54" t="e">
        <v>#N/A</v>
      </c>
      <c r="E282" s="80">
        <v>12</v>
      </c>
      <c r="F282" s="80">
        <v>1</v>
      </c>
      <c r="G282" s="57" t="e">
        <f>#REF!+(E282/F282)</f>
        <v>#REF!</v>
      </c>
      <c r="H282" s="54"/>
      <c r="I282" s="66">
        <f>VLOOKUP(A282,'[1]תכנית ייצור'!$B:$H,7,0)</f>
        <v>46443</v>
      </c>
      <c r="J282" s="66">
        <f t="shared" si="26"/>
        <v>46449</v>
      </c>
      <c r="K282" s="66">
        <f t="shared" si="27"/>
        <v>46465</v>
      </c>
      <c r="L282" s="67"/>
      <c r="M282" s="68">
        <v>0</v>
      </c>
      <c r="N282" s="97"/>
      <c r="O282" s="61">
        <f t="shared" si="20"/>
        <v>46468</v>
      </c>
      <c r="P282" s="25">
        <f>VLOOKUP(A282,'הזמנות פתוחות'!A:D,4,0)</f>
        <v>46446</v>
      </c>
      <c r="Q282" s="62"/>
      <c r="R282" s="63">
        <v>0</v>
      </c>
    </row>
    <row r="283" spans="1:18" x14ac:dyDescent="0.3">
      <c r="A283" s="156" t="s">
        <v>473</v>
      </c>
      <c r="B283" s="65"/>
      <c r="C283" s="54" t="e">
        <f>VLOOKUP(A283,קוביות!A:X,24,0)</f>
        <v>#N/A</v>
      </c>
      <c r="D283" s="54" t="e">
        <v>#N/A</v>
      </c>
      <c r="E283" s="80">
        <v>15</v>
      </c>
      <c r="F283" s="80">
        <v>1</v>
      </c>
      <c r="G283" s="57" t="e">
        <f>#REF!+(E283/F283)</f>
        <v>#REF!</v>
      </c>
      <c r="H283" s="54"/>
      <c r="I283" s="66">
        <f>VLOOKUP(A283,'[1]תכנית ייצור'!$B:$H,7,0)</f>
        <v>46433</v>
      </c>
      <c r="J283" s="66">
        <f t="shared" si="26"/>
        <v>46439</v>
      </c>
      <c r="K283" s="66">
        <f t="shared" si="27"/>
        <v>46455</v>
      </c>
      <c r="L283" s="67"/>
      <c r="M283" s="68">
        <v>0</v>
      </c>
      <c r="N283" s="72"/>
      <c r="O283" s="61">
        <f t="shared" si="20"/>
        <v>46458</v>
      </c>
      <c r="P283" s="25">
        <f>VLOOKUP(A283,'הזמנות פתוחות'!A:D,4,0)</f>
        <v>46440</v>
      </c>
      <c r="Q283" s="62"/>
      <c r="R283" s="63" t="s">
        <v>474</v>
      </c>
    </row>
    <row r="284" spans="1:18" x14ac:dyDescent="0.3">
      <c r="A284" s="156" t="s">
        <v>475</v>
      </c>
      <c r="B284" s="65"/>
      <c r="C284" s="54" t="e">
        <f>VLOOKUP(A284,קוביות!A:X,24,0)</f>
        <v>#N/A</v>
      </c>
      <c r="D284" s="54" t="e">
        <v>#N/A</v>
      </c>
      <c r="E284" s="80">
        <v>12</v>
      </c>
      <c r="F284" s="80">
        <v>1</v>
      </c>
      <c r="G284" s="57" t="e">
        <f>#REF!+(E284/F284)</f>
        <v>#REF!</v>
      </c>
      <c r="H284" s="54"/>
      <c r="I284" s="40">
        <v>46235</v>
      </c>
      <c r="J284" s="171">
        <v>46257</v>
      </c>
      <c r="K284" s="66">
        <f t="shared" si="27"/>
        <v>46273</v>
      </c>
      <c r="L284" s="67"/>
      <c r="M284" s="68">
        <v>0</v>
      </c>
      <c r="N284" s="74"/>
      <c r="O284" s="61">
        <v>46277</v>
      </c>
      <c r="P284" s="25">
        <f>VLOOKUP(A284,'הזמנות פתוחות'!A:D,4,0)</f>
        <v>46272</v>
      </c>
      <c r="Q284" s="62"/>
      <c r="R284" s="63">
        <v>0</v>
      </c>
    </row>
    <row r="285" spans="1:18" x14ac:dyDescent="0.3">
      <c r="A285" s="156" t="s">
        <v>476</v>
      </c>
      <c r="B285" s="99"/>
      <c r="C285" s="54" t="e">
        <f>VLOOKUP(A285,קוביות!A:X,24,0)</f>
        <v>#N/A</v>
      </c>
      <c r="D285" s="54" t="e">
        <v>#N/A</v>
      </c>
      <c r="E285" s="80">
        <v>12</v>
      </c>
      <c r="F285" s="80">
        <v>1</v>
      </c>
      <c r="G285" s="57" t="e">
        <f>#REF!+(E285/F285)</f>
        <v>#REF!</v>
      </c>
      <c r="H285" s="101"/>
      <c r="I285" s="66">
        <f>VLOOKUP(A285,'[1]תכנית ייצור'!$B:$H,7,0)</f>
        <v>46438</v>
      </c>
      <c r="J285" s="66">
        <f t="shared" si="26"/>
        <v>46444</v>
      </c>
      <c r="K285" s="66">
        <f t="shared" si="27"/>
        <v>46460</v>
      </c>
      <c r="L285" s="67"/>
      <c r="M285" s="68">
        <v>0</v>
      </c>
      <c r="N285" s="74"/>
      <c r="O285" s="61">
        <f t="shared" ref="O285:O287" si="28">K285+3</f>
        <v>46463</v>
      </c>
      <c r="P285" s="25">
        <f>VLOOKUP(A285,'הזמנות פתוחות'!A:D,4,0)</f>
        <v>46443</v>
      </c>
      <c r="Q285" s="62"/>
      <c r="R285" s="63">
        <v>0</v>
      </c>
    </row>
    <row r="286" spans="1:18" x14ac:dyDescent="0.3">
      <c r="A286" s="156" t="s">
        <v>477</v>
      </c>
      <c r="B286" s="99"/>
      <c r="C286" s="54" t="e">
        <f>VLOOKUP(A286,קוביות!A:X,24,0)</f>
        <v>#N/A</v>
      </c>
      <c r="D286" s="54" t="e">
        <v>#N/A</v>
      </c>
      <c r="E286" s="80">
        <v>15</v>
      </c>
      <c r="F286" s="80">
        <v>1</v>
      </c>
      <c r="G286" s="57" t="e">
        <f>#REF!+(E286/F286)</f>
        <v>#REF!</v>
      </c>
      <c r="H286" s="57"/>
      <c r="I286" s="66">
        <f>VLOOKUP(A286,'[1]תכנית ייצור'!$B:$H,7,0)</f>
        <v>46448</v>
      </c>
      <c r="J286" s="66">
        <f t="shared" si="26"/>
        <v>46454</v>
      </c>
      <c r="K286" s="66">
        <f t="shared" si="27"/>
        <v>46470</v>
      </c>
      <c r="L286" s="67"/>
      <c r="M286" s="68">
        <v>0</v>
      </c>
      <c r="N286" s="161"/>
      <c r="O286" s="61">
        <f t="shared" si="28"/>
        <v>46473</v>
      </c>
      <c r="P286" s="25">
        <f>VLOOKUP(A286,'הזמנות פתוחות'!A:D,4,0)</f>
        <v>46456</v>
      </c>
      <c r="Q286" s="62"/>
      <c r="R286" s="63">
        <v>0</v>
      </c>
    </row>
    <row r="287" spans="1:18" x14ac:dyDescent="0.3">
      <c r="A287" s="156" t="s">
        <v>478</v>
      </c>
      <c r="B287" s="101"/>
      <c r="C287" s="54" t="e">
        <f>VLOOKUP(A287,קוביות!A:X,24,0)</f>
        <v>#N/A</v>
      </c>
      <c r="D287" s="54" t="e">
        <v>#N/A</v>
      </c>
      <c r="E287" s="80">
        <v>12</v>
      </c>
      <c r="F287" s="80">
        <v>1</v>
      </c>
      <c r="G287" s="57" t="e">
        <f>#REF!+(E287/F287)</f>
        <v>#REF!</v>
      </c>
      <c r="H287" s="101"/>
      <c r="I287" s="66">
        <f>VLOOKUP(A287,'[1]תכנית ייצור'!$B:$H,7,0)</f>
        <v>46261</v>
      </c>
      <c r="J287" s="66">
        <f t="shared" si="26"/>
        <v>46267</v>
      </c>
      <c r="K287" s="66">
        <f t="shared" si="27"/>
        <v>46283</v>
      </c>
      <c r="L287" s="67"/>
      <c r="M287" s="68">
        <v>0</v>
      </c>
      <c r="N287" s="72"/>
      <c r="O287" s="61">
        <f t="shared" si="28"/>
        <v>46286</v>
      </c>
      <c r="P287" s="25">
        <f>VLOOKUP(A287,'הזמנות פתוחות'!A:D,4,0)</f>
        <v>46272</v>
      </c>
      <c r="Q287" s="62"/>
      <c r="R287" s="63">
        <v>0</v>
      </c>
    </row>
    <row r="288" spans="1:18" x14ac:dyDescent="0.3">
      <c r="A288" s="156" t="s">
        <v>479</v>
      </c>
      <c r="B288" s="65"/>
      <c r="C288" s="54" t="e">
        <f>VLOOKUP(A288,קוביות!A:X,24,0)</f>
        <v>#N/A</v>
      </c>
      <c r="D288" s="54" t="e">
        <v>#N/A</v>
      </c>
      <c r="E288" s="55"/>
      <c r="F288" s="57"/>
      <c r="G288" s="57"/>
      <c r="H288" s="54"/>
      <c r="I288" s="153" t="s">
        <v>514</v>
      </c>
      <c r="J288" s="66"/>
      <c r="K288" s="66"/>
      <c r="L288" s="67"/>
      <c r="M288" s="68">
        <v>0</v>
      </c>
      <c r="N288" s="74"/>
      <c r="O288" s="153" t="s">
        <v>514</v>
      </c>
      <c r="P288" s="25">
        <v>46639</v>
      </c>
      <c r="Q288" s="126"/>
      <c r="R288" s="63">
        <v>0</v>
      </c>
    </row>
    <row r="289" spans="1:18" ht="28.8" x14ac:dyDescent="0.3">
      <c r="A289" s="156" t="s">
        <v>480</v>
      </c>
      <c r="B289" s="65"/>
      <c r="C289" s="54" t="e">
        <f>VLOOKUP(A289,קוביות!A:X,24,0)</f>
        <v>#N/A</v>
      </c>
      <c r="D289" s="54" t="e">
        <v>#N/A</v>
      </c>
      <c r="E289" s="55"/>
      <c r="F289" s="57"/>
      <c r="G289" s="57"/>
      <c r="H289" s="54"/>
      <c r="I289" s="153" t="s">
        <v>432</v>
      </c>
      <c r="J289" s="66"/>
      <c r="K289" s="66"/>
      <c r="L289" s="67"/>
      <c r="M289" s="68">
        <v>0</v>
      </c>
      <c r="N289" s="74"/>
      <c r="O289" s="61" t="s">
        <v>432</v>
      </c>
      <c r="P289" s="25" t="e">
        <f>VLOOKUP(A289,'הזמנות פתוחות'!A:D,4,0)</f>
        <v>#N/A</v>
      </c>
      <c r="Q289" s="126"/>
      <c r="R289" s="192" t="s">
        <v>432</v>
      </c>
    </row>
    <row r="290" spans="1:18" ht="28.8" x14ac:dyDescent="0.3">
      <c r="A290" s="156" t="s">
        <v>481</v>
      </c>
      <c r="B290" s="65"/>
      <c r="C290" s="54" t="e">
        <f>VLOOKUP(A290,קוביות!A:X,24,0)</f>
        <v>#N/A</v>
      </c>
      <c r="D290" s="54" t="e">
        <v>#N/A</v>
      </c>
      <c r="E290" s="55"/>
      <c r="F290" s="57"/>
      <c r="G290" s="57"/>
      <c r="H290" s="54"/>
      <c r="I290" s="153" t="s">
        <v>432</v>
      </c>
      <c r="J290" s="66"/>
      <c r="K290" s="66"/>
      <c r="L290" s="67"/>
      <c r="M290" s="68">
        <v>0</v>
      </c>
      <c r="N290" s="74"/>
      <c r="O290" s="61" t="s">
        <v>432</v>
      </c>
      <c r="P290" s="25" t="e">
        <f>VLOOKUP(A290,'הזמנות פתוחות'!A:D,4,0)</f>
        <v>#N/A</v>
      </c>
      <c r="Q290" s="126"/>
      <c r="R290" s="192" t="s">
        <v>432</v>
      </c>
    </row>
    <row r="291" spans="1:18" ht="24.75" customHeight="1" x14ac:dyDescent="0.3">
      <c r="A291" s="156" t="s">
        <v>482</v>
      </c>
      <c r="B291" s="65"/>
      <c r="C291" s="54" t="e">
        <f>VLOOKUP(A291,קוביות!A:X,24,0)</f>
        <v>#N/A</v>
      </c>
      <c r="D291" s="54" t="e">
        <v>#N/A</v>
      </c>
      <c r="E291" s="55"/>
      <c r="F291" s="57"/>
      <c r="G291" s="57"/>
      <c r="H291" s="54"/>
      <c r="I291" s="153" t="s">
        <v>432</v>
      </c>
      <c r="J291" s="66"/>
      <c r="K291" s="66"/>
      <c r="L291" s="67"/>
      <c r="M291" s="68">
        <v>0</v>
      </c>
      <c r="N291" s="74"/>
      <c r="O291" s="61" t="s">
        <v>432</v>
      </c>
      <c r="P291" s="25" t="e">
        <f>VLOOKUP(A291,'הזמנות פתוחות'!A:D,4,0)</f>
        <v>#N/A</v>
      </c>
      <c r="Q291" s="126"/>
      <c r="R291" s="192" t="s">
        <v>432</v>
      </c>
    </row>
    <row r="292" spans="1:18" ht="28.8" x14ac:dyDescent="0.3">
      <c r="A292" s="156" t="s">
        <v>483</v>
      </c>
      <c r="B292" s="65"/>
      <c r="C292" s="54" t="e">
        <f>VLOOKUP(A292,קוביות!A:X,24,0)</f>
        <v>#N/A</v>
      </c>
      <c r="D292" s="54" t="e">
        <v>#N/A</v>
      </c>
      <c r="E292" s="55"/>
      <c r="F292" s="57"/>
      <c r="G292" s="57"/>
      <c r="H292" s="54"/>
      <c r="I292" s="153" t="s">
        <v>432</v>
      </c>
      <c r="J292" s="66"/>
      <c r="K292" s="66"/>
      <c r="L292" s="67"/>
      <c r="M292" s="68">
        <v>0</v>
      </c>
      <c r="N292" s="74"/>
      <c r="O292" s="61" t="s">
        <v>432</v>
      </c>
      <c r="P292" s="25" t="e">
        <f>VLOOKUP(A292,'הזמנות פתוחות'!A:D,4,0)</f>
        <v>#N/A</v>
      </c>
      <c r="Q292" s="126"/>
      <c r="R292" s="192" t="s">
        <v>432</v>
      </c>
    </row>
    <row r="293" spans="1:18" ht="28.8" x14ac:dyDescent="0.3">
      <c r="A293" s="156" t="s">
        <v>484</v>
      </c>
      <c r="B293" s="65"/>
      <c r="C293" s="54" t="e">
        <f>VLOOKUP(A293,קוביות!A:X,24,0)</f>
        <v>#N/A</v>
      </c>
      <c r="D293" s="54" t="e">
        <v>#N/A</v>
      </c>
      <c r="E293" s="55"/>
      <c r="F293" s="57"/>
      <c r="G293" s="57"/>
      <c r="H293" s="54"/>
      <c r="I293" s="153" t="s">
        <v>432</v>
      </c>
      <c r="J293" s="66"/>
      <c r="K293" s="66"/>
      <c r="L293" s="67"/>
      <c r="M293" s="68">
        <v>0</v>
      </c>
      <c r="N293" s="74"/>
      <c r="O293" s="61" t="s">
        <v>432</v>
      </c>
      <c r="P293" s="25" t="e">
        <f>VLOOKUP(A293,'הזמנות פתוחות'!A:D,4,0)</f>
        <v>#N/A</v>
      </c>
      <c r="Q293" s="126"/>
      <c r="R293" s="192" t="s">
        <v>432</v>
      </c>
    </row>
    <row r="294" spans="1:18" x14ac:dyDescent="0.3">
      <c r="A294" s="162" t="s">
        <v>485</v>
      </c>
      <c r="B294" s="99"/>
      <c r="C294" s="54" t="e">
        <f>VLOOKUP(A294,קוביות!A:X,24,0)</f>
        <v>#N/A</v>
      </c>
      <c r="D294" s="54" t="e">
        <v>#N/A</v>
      </c>
      <c r="E294" s="163">
        <v>12</v>
      </c>
      <c r="F294" s="80">
        <v>1</v>
      </c>
      <c r="G294" s="57" t="e">
        <f>#REF!+(E294/F294)</f>
        <v>#REF!</v>
      </c>
      <c r="H294" s="101"/>
      <c r="I294" s="125" t="e">
        <v>#N/A</v>
      </c>
      <c r="J294" s="125" t="e">
        <f>I294+6</f>
        <v>#N/A</v>
      </c>
      <c r="K294" s="164"/>
      <c r="L294" s="164"/>
      <c r="M294" s="165"/>
      <c r="N294" s="166"/>
      <c r="O294" s="167" t="s">
        <v>486</v>
      </c>
      <c r="P294" s="25" t="e">
        <f>VLOOKUP(A294,'הזמנות פתוחות'!A:D,4,0)</f>
        <v>#N/A</v>
      </c>
      <c r="Q294" s="62"/>
      <c r="R294" s="192" t="s">
        <v>487</v>
      </c>
    </row>
  </sheetData>
  <autoFilter ref="A6:AK6" xr:uid="{BB7BFA5C-0E29-41A7-AD90-14AA5EA106D8}"/>
  <conditionalFormatting sqref="A2">
    <cfRule type="cellIs" dxfId="34" priority="54" operator="lessThan">
      <formula>46208</formula>
    </cfRule>
    <cfRule type="cellIs" dxfId="33" priority="55" operator="between">
      <formula>46113</formula>
      <formula>46174</formula>
    </cfRule>
    <cfRule type="cellIs" dxfId="32" priority="56" operator="between">
      <formula>46143</formula>
      <formula>46174</formula>
    </cfRule>
    <cfRule type="cellIs" dxfId="31" priority="57" operator="lessThan">
      <formula>46023</formula>
    </cfRule>
    <cfRule type="cellIs" dxfId="30" priority="58" operator="greaterThan">
      <formula>46387</formula>
    </cfRule>
  </conditionalFormatting>
  <conditionalFormatting sqref="A4">
    <cfRule type="cellIs" dxfId="29" priority="61" operator="between">
      <formula>46113</formula>
      <formula>46174</formula>
    </cfRule>
    <cfRule type="cellIs" dxfId="28" priority="62" operator="between">
      <formula>46143</formula>
      <formula>46174</formula>
    </cfRule>
    <cfRule type="cellIs" dxfId="27" priority="63" operator="lessThan">
      <formula>46023</formula>
    </cfRule>
    <cfRule type="cellIs" dxfId="26" priority="64" operator="greaterThan">
      <formula>46387</formula>
    </cfRule>
  </conditionalFormatting>
  <conditionalFormatting sqref="O265">
    <cfRule type="cellIs" dxfId="25" priority="28" operator="lessThan">
      <formula>46208</formula>
    </cfRule>
    <cfRule type="cellIs" dxfId="24" priority="29" operator="between">
      <formula>46113</formula>
      <formula>46174</formula>
    </cfRule>
    <cfRule type="cellIs" dxfId="23" priority="30" operator="between">
      <formula>46143</formula>
      <formula>46174</formula>
    </cfRule>
    <cfRule type="cellIs" dxfId="22" priority="31" operator="lessThan">
      <formula>46023</formula>
    </cfRule>
    <cfRule type="cellIs" dxfId="21" priority="32" operator="greaterThan">
      <formula>46387</formula>
    </cfRule>
  </conditionalFormatting>
  <conditionalFormatting sqref="O271:O272">
    <cfRule type="cellIs" dxfId="20" priority="2" operator="lessThan">
      <formula>46208</formula>
    </cfRule>
    <cfRule type="cellIs" dxfId="19" priority="3" operator="between">
      <formula>46113</formula>
      <formula>46174</formula>
    </cfRule>
    <cfRule type="cellIs" dxfId="18" priority="4" operator="between">
      <formula>46143</formula>
      <formula>46174</formula>
    </cfRule>
    <cfRule type="cellIs" dxfId="17" priority="5" operator="lessThan">
      <formula>46023</formula>
    </cfRule>
    <cfRule type="cellIs" dxfId="16" priority="6" operator="greaterThan">
      <formula>46387</formula>
    </cfRule>
  </conditionalFormatting>
  <conditionalFormatting sqref="P6 P8:P1048576">
    <cfRule type="cellIs" dxfId="15" priority="19" operator="between">
      <formula>46113</formula>
      <formula>46174</formula>
    </cfRule>
    <cfRule type="cellIs" dxfId="14" priority="20" operator="between">
      <formula>46143</formula>
      <formula>46174</formula>
    </cfRule>
    <cfRule type="cellIs" dxfId="13" priority="21" operator="lessThan">
      <formula>46023</formula>
    </cfRule>
  </conditionalFormatting>
  <conditionalFormatting sqref="P6 P8:P1048576">
    <cfRule type="cellIs" dxfId="12" priority="18" operator="lessThan">
      <formula>46208</formula>
    </cfRule>
  </conditionalFormatting>
  <conditionalFormatting sqref="P8:P1048576">
    <cfRule type="cellIs" dxfId="11" priority="22" operator="greaterThan">
      <formula>46387</formula>
    </cfRule>
  </conditionalFormatting>
  <conditionalFormatting sqref="P10:P294">
    <cfRule type="cellIs" dxfId="10" priority="1" operator="lessThan">
      <formula>46249</formula>
    </cfRule>
  </conditionalFormatting>
  <conditionalFormatting sqref="AB141">
    <cfRule type="cellIs" dxfId="9" priority="39" operator="lessThan">
      <formula>46208</formula>
    </cfRule>
    <cfRule type="cellIs" dxfId="8" priority="40" operator="between">
      <formula>46113</formula>
      <formula>46174</formula>
    </cfRule>
    <cfRule type="cellIs" dxfId="7" priority="41" operator="between">
      <formula>46143</formula>
      <formula>46174</formula>
    </cfRule>
    <cfRule type="cellIs" dxfId="6" priority="42" operator="lessThan">
      <formula>46023</formula>
    </cfRule>
    <cfRule type="cellIs" dxfId="5" priority="43" operator="greaterThan">
      <formula>46387</formula>
    </cfRule>
  </conditionalFormatting>
  <conditionalFormatting sqref="AB39:AB56">
    <cfRule type="cellIs" dxfId="4" priority="49" operator="lessThan">
      <formula>46208</formula>
    </cfRule>
    <cfRule type="cellIs" dxfId="3" priority="50" operator="between">
      <formula>46113</formula>
      <formula>46174</formula>
    </cfRule>
    <cfRule type="cellIs" dxfId="2" priority="51" operator="between">
      <formula>46143</formula>
      <formula>46174</formula>
    </cfRule>
    <cfRule type="cellIs" dxfId="1" priority="52" operator="lessThan">
      <formula>46023</formula>
    </cfRule>
    <cfRule type="cellIs" dxfId="0" priority="53" operator="greaterThan">
      <formula>46387</formula>
    </cfRule>
  </conditionalFormatting>
  <pageMargins left="0.11811023622047245" right="0.11811023622047245" top="0.74803149606299213" bottom="0.74803149606299213" header="0.31496062992125984" footer="0.31496062992125984"/>
  <pageSetup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BDDF-51ED-4B71-AAA9-6F41F0617CCC}">
  <dimension ref="A1:H945"/>
  <sheetViews>
    <sheetView workbookViewId="0">
      <selection activeCell="D6" sqref="D6"/>
    </sheetView>
  </sheetViews>
  <sheetFormatPr defaultRowHeight="14.4" x14ac:dyDescent="0.3"/>
  <cols>
    <col min="1" max="1" width="9.77734375" bestFit="1" customWidth="1"/>
    <col min="2" max="2" width="11" bestFit="1" customWidth="1"/>
    <col min="3" max="3" width="5.44140625" bestFit="1" customWidth="1"/>
    <col min="4" max="4" width="10.33203125" customWidth="1"/>
    <col min="5" max="5" width="24.77734375" customWidth="1"/>
    <col min="6" max="6" width="7.44140625" bestFit="1" customWidth="1"/>
    <col min="7" max="7" width="9.109375" bestFit="1" customWidth="1"/>
    <col min="8" max="8" width="6" bestFit="1" customWidth="1"/>
  </cols>
  <sheetData>
    <row r="1" spans="1:8" ht="27" thickBot="1" x14ac:dyDescent="0.35">
      <c r="A1" s="185" t="s">
        <v>540</v>
      </c>
      <c r="B1" s="186" t="s">
        <v>541</v>
      </c>
      <c r="C1" s="187" t="s">
        <v>542</v>
      </c>
      <c r="D1" s="187" t="s">
        <v>543</v>
      </c>
      <c r="E1" s="186" t="s">
        <v>544</v>
      </c>
      <c r="F1" s="187" t="s">
        <v>545</v>
      </c>
      <c r="G1" s="186" t="s">
        <v>546</v>
      </c>
      <c r="H1" s="188" t="s">
        <v>547</v>
      </c>
    </row>
    <row r="2" spans="1:8" ht="20.399999999999999" x14ac:dyDescent="0.3">
      <c r="A2" s="181" t="s">
        <v>548</v>
      </c>
      <c r="B2" s="181" t="s">
        <v>549</v>
      </c>
      <c r="C2" s="182">
        <v>88</v>
      </c>
      <c r="D2" s="183">
        <v>46174</v>
      </c>
      <c r="E2" s="181" t="s">
        <v>550</v>
      </c>
      <c r="F2" s="182">
        <v>24</v>
      </c>
      <c r="G2" s="184"/>
      <c r="H2" s="184"/>
    </row>
    <row r="3" spans="1:8" x14ac:dyDescent="0.3">
      <c r="A3" s="177" t="s">
        <v>551</v>
      </c>
      <c r="B3" s="177" t="s">
        <v>552</v>
      </c>
      <c r="C3" s="178">
        <v>352</v>
      </c>
      <c r="D3" s="179">
        <v>46174</v>
      </c>
      <c r="E3" s="177" t="s">
        <v>550</v>
      </c>
      <c r="F3" s="178">
        <v>1</v>
      </c>
      <c r="G3" s="180"/>
      <c r="H3" s="180"/>
    </row>
    <row r="4" spans="1:8" x14ac:dyDescent="0.3">
      <c r="A4" s="177" t="s">
        <v>551</v>
      </c>
      <c r="B4" s="177" t="s">
        <v>552</v>
      </c>
      <c r="C4" s="178">
        <v>354</v>
      </c>
      <c r="D4" s="179">
        <v>46174</v>
      </c>
      <c r="E4" s="177" t="s">
        <v>550</v>
      </c>
      <c r="F4" s="178">
        <v>1</v>
      </c>
      <c r="G4" s="180"/>
      <c r="H4" s="180"/>
    </row>
    <row r="5" spans="1:8" ht="20.399999999999999" x14ac:dyDescent="0.3">
      <c r="A5" s="177" t="s">
        <v>553</v>
      </c>
      <c r="B5" s="177" t="s">
        <v>554</v>
      </c>
      <c r="C5" s="178">
        <v>252</v>
      </c>
      <c r="D5" s="179">
        <v>46182</v>
      </c>
      <c r="E5" s="177" t="s">
        <v>550</v>
      </c>
      <c r="F5" s="178">
        <v>10</v>
      </c>
      <c r="G5" s="180"/>
      <c r="H5" s="178">
        <v>24</v>
      </c>
    </row>
    <row r="6" spans="1:8" ht="20.399999999999999" x14ac:dyDescent="0.3">
      <c r="A6" s="177" t="s">
        <v>555</v>
      </c>
      <c r="B6" s="177" t="s">
        <v>552</v>
      </c>
      <c r="C6" s="178">
        <v>410</v>
      </c>
      <c r="D6" s="179">
        <v>46187</v>
      </c>
      <c r="E6" s="177" t="s">
        <v>550</v>
      </c>
      <c r="F6" s="178">
        <v>1</v>
      </c>
      <c r="G6" s="180"/>
      <c r="H6" s="180"/>
    </row>
    <row r="7" spans="1:8" ht="20.399999999999999" x14ac:dyDescent="0.3">
      <c r="A7" s="177" t="s">
        <v>556</v>
      </c>
      <c r="B7" s="177" t="s">
        <v>552</v>
      </c>
      <c r="C7" s="178">
        <v>304</v>
      </c>
      <c r="D7" s="179">
        <v>46187</v>
      </c>
      <c r="E7" s="177" t="s">
        <v>550</v>
      </c>
      <c r="F7" s="178">
        <v>1</v>
      </c>
      <c r="G7" s="180"/>
      <c r="H7" s="178">
        <v>13</v>
      </c>
    </row>
    <row r="8" spans="1:8" ht="20.399999999999999" x14ac:dyDescent="0.3">
      <c r="A8" s="177" t="s">
        <v>557</v>
      </c>
      <c r="B8" s="177" t="s">
        <v>558</v>
      </c>
      <c r="C8" s="178">
        <v>8</v>
      </c>
      <c r="D8" s="179">
        <v>46188</v>
      </c>
      <c r="E8" s="177" t="s">
        <v>559</v>
      </c>
      <c r="F8" s="178">
        <v>2</v>
      </c>
      <c r="G8" s="180"/>
      <c r="H8" s="180"/>
    </row>
    <row r="9" spans="1:8" x14ac:dyDescent="0.3">
      <c r="A9" s="177" t="s">
        <v>560</v>
      </c>
      <c r="B9" s="177" t="s">
        <v>552</v>
      </c>
      <c r="C9" s="178">
        <v>62</v>
      </c>
      <c r="D9" s="179">
        <v>46193</v>
      </c>
      <c r="E9" s="177" t="s">
        <v>550</v>
      </c>
      <c r="F9" s="178">
        <v>3</v>
      </c>
      <c r="G9" s="180"/>
      <c r="H9" s="180"/>
    </row>
    <row r="10" spans="1:8" ht="20.399999999999999" x14ac:dyDescent="0.3">
      <c r="A10" s="177" t="s">
        <v>561</v>
      </c>
      <c r="B10" s="177" t="s">
        <v>552</v>
      </c>
      <c r="C10" s="178">
        <v>118</v>
      </c>
      <c r="D10" s="179">
        <v>46193</v>
      </c>
      <c r="E10" s="177" t="s">
        <v>550</v>
      </c>
      <c r="F10" s="178">
        <v>3</v>
      </c>
      <c r="G10" s="180"/>
      <c r="H10" s="180"/>
    </row>
    <row r="11" spans="1:8" ht="20.399999999999999" x14ac:dyDescent="0.3">
      <c r="A11" s="177" t="s">
        <v>562</v>
      </c>
      <c r="B11" s="177" t="s">
        <v>552</v>
      </c>
      <c r="C11" s="178">
        <v>328</v>
      </c>
      <c r="D11" s="179">
        <v>46201</v>
      </c>
      <c r="E11" s="177" t="s">
        <v>550</v>
      </c>
      <c r="F11" s="178">
        <v>24</v>
      </c>
      <c r="G11" s="180"/>
      <c r="H11" s="180"/>
    </row>
    <row r="12" spans="1:8" ht="20.399999999999999" x14ac:dyDescent="0.3">
      <c r="A12" s="177" t="s">
        <v>563</v>
      </c>
      <c r="B12" s="177" t="s">
        <v>564</v>
      </c>
      <c r="C12" s="178">
        <v>4</v>
      </c>
      <c r="D12" s="179">
        <v>46203</v>
      </c>
      <c r="E12" s="177" t="s">
        <v>550</v>
      </c>
      <c r="F12" s="178">
        <v>2</v>
      </c>
      <c r="G12" s="178">
        <v>6</v>
      </c>
      <c r="H12" s="180"/>
    </row>
    <row r="13" spans="1:8" ht="20.399999999999999" x14ac:dyDescent="0.3">
      <c r="A13" s="177" t="s">
        <v>565</v>
      </c>
      <c r="B13" s="177" t="s">
        <v>564</v>
      </c>
      <c r="C13" s="178">
        <v>6</v>
      </c>
      <c r="D13" s="179">
        <v>46203</v>
      </c>
      <c r="E13" s="177" t="s">
        <v>550</v>
      </c>
      <c r="F13" s="178">
        <v>2</v>
      </c>
      <c r="G13" s="178">
        <v>2</v>
      </c>
      <c r="H13" s="180"/>
    </row>
    <row r="14" spans="1:8" ht="20.399999999999999" x14ac:dyDescent="0.3">
      <c r="A14" s="177" t="s">
        <v>566</v>
      </c>
      <c r="B14" s="177" t="s">
        <v>564</v>
      </c>
      <c r="C14" s="178">
        <v>8</v>
      </c>
      <c r="D14" s="179">
        <v>46203</v>
      </c>
      <c r="E14" s="177" t="s">
        <v>550</v>
      </c>
      <c r="F14" s="178">
        <v>8</v>
      </c>
      <c r="G14" s="178">
        <v>8</v>
      </c>
      <c r="H14" s="180"/>
    </row>
    <row r="15" spans="1:8" ht="20.399999999999999" x14ac:dyDescent="0.3">
      <c r="A15" s="177" t="s">
        <v>453</v>
      </c>
      <c r="B15" s="177" t="s">
        <v>552</v>
      </c>
      <c r="C15" s="178">
        <v>64</v>
      </c>
      <c r="D15" s="179">
        <v>46204</v>
      </c>
      <c r="E15" s="177" t="s">
        <v>550</v>
      </c>
      <c r="F15" s="178">
        <v>1</v>
      </c>
      <c r="G15" s="180"/>
      <c r="H15" s="180"/>
    </row>
    <row r="16" spans="1:8" ht="20.399999999999999" x14ac:dyDescent="0.3">
      <c r="A16" s="177" t="s">
        <v>567</v>
      </c>
      <c r="B16" s="177" t="s">
        <v>552</v>
      </c>
      <c r="C16" s="178">
        <v>70</v>
      </c>
      <c r="D16" s="179">
        <v>46204</v>
      </c>
      <c r="E16" s="177" t="s">
        <v>550</v>
      </c>
      <c r="F16" s="178">
        <v>46</v>
      </c>
      <c r="G16" s="180"/>
      <c r="H16" s="180"/>
    </row>
    <row r="17" spans="1:8" ht="20.399999999999999" x14ac:dyDescent="0.3">
      <c r="A17" s="177" t="s">
        <v>568</v>
      </c>
      <c r="B17" s="177" t="s">
        <v>552</v>
      </c>
      <c r="C17" s="178">
        <v>88</v>
      </c>
      <c r="D17" s="179">
        <v>46204</v>
      </c>
      <c r="E17" s="177" t="s">
        <v>550</v>
      </c>
      <c r="F17" s="178">
        <v>96</v>
      </c>
      <c r="G17" s="180"/>
      <c r="H17" s="180"/>
    </row>
    <row r="18" spans="1:8" ht="20.399999999999999" x14ac:dyDescent="0.3">
      <c r="A18" s="177" t="s">
        <v>568</v>
      </c>
      <c r="B18" s="177" t="s">
        <v>552</v>
      </c>
      <c r="C18" s="178">
        <v>90</v>
      </c>
      <c r="D18" s="179">
        <v>46204</v>
      </c>
      <c r="E18" s="177" t="s">
        <v>550</v>
      </c>
      <c r="F18" s="178">
        <v>84</v>
      </c>
      <c r="G18" s="180"/>
      <c r="H18" s="180"/>
    </row>
    <row r="19" spans="1:8" ht="20.399999999999999" x14ac:dyDescent="0.3">
      <c r="A19" s="177" t="s">
        <v>569</v>
      </c>
      <c r="B19" s="177" t="s">
        <v>552</v>
      </c>
      <c r="C19" s="178">
        <v>108</v>
      </c>
      <c r="D19" s="179">
        <v>46204</v>
      </c>
      <c r="E19" s="177" t="s">
        <v>550</v>
      </c>
      <c r="F19" s="178">
        <v>1</v>
      </c>
      <c r="G19" s="180"/>
      <c r="H19" s="180"/>
    </row>
    <row r="20" spans="1:8" ht="20.399999999999999" x14ac:dyDescent="0.3">
      <c r="A20" s="177" t="s">
        <v>570</v>
      </c>
      <c r="B20" s="177" t="s">
        <v>552</v>
      </c>
      <c r="C20" s="178">
        <v>112</v>
      </c>
      <c r="D20" s="179">
        <v>46204</v>
      </c>
      <c r="E20" s="177" t="s">
        <v>550</v>
      </c>
      <c r="F20" s="178">
        <v>2</v>
      </c>
      <c r="G20" s="180"/>
      <c r="H20" s="180"/>
    </row>
    <row r="21" spans="1:8" ht="20.399999999999999" x14ac:dyDescent="0.3">
      <c r="A21" s="177" t="s">
        <v>571</v>
      </c>
      <c r="B21" s="177" t="s">
        <v>552</v>
      </c>
      <c r="C21" s="178">
        <v>306</v>
      </c>
      <c r="D21" s="179">
        <v>46204</v>
      </c>
      <c r="E21" s="177" t="s">
        <v>550</v>
      </c>
      <c r="F21" s="178">
        <v>24</v>
      </c>
      <c r="G21" s="180"/>
      <c r="H21" s="180"/>
    </row>
    <row r="22" spans="1:8" ht="20.399999999999999" x14ac:dyDescent="0.3">
      <c r="A22" s="177" t="s">
        <v>572</v>
      </c>
      <c r="B22" s="177" t="s">
        <v>552</v>
      </c>
      <c r="C22" s="178">
        <v>308</v>
      </c>
      <c r="D22" s="179">
        <v>46204</v>
      </c>
      <c r="E22" s="177" t="s">
        <v>550</v>
      </c>
      <c r="F22" s="178">
        <v>48</v>
      </c>
      <c r="G22" s="180"/>
      <c r="H22" s="180"/>
    </row>
    <row r="23" spans="1:8" ht="20.399999999999999" x14ac:dyDescent="0.3">
      <c r="A23" s="177" t="s">
        <v>573</v>
      </c>
      <c r="B23" s="177" t="s">
        <v>552</v>
      </c>
      <c r="C23" s="178">
        <v>188</v>
      </c>
      <c r="D23" s="179">
        <v>46204</v>
      </c>
      <c r="E23" s="177" t="s">
        <v>550</v>
      </c>
      <c r="F23" s="178">
        <v>12</v>
      </c>
      <c r="G23" s="180"/>
      <c r="H23" s="180"/>
    </row>
    <row r="24" spans="1:8" ht="20.399999999999999" x14ac:dyDescent="0.3">
      <c r="A24" s="177" t="s">
        <v>574</v>
      </c>
      <c r="B24" s="177" t="s">
        <v>552</v>
      </c>
      <c r="C24" s="178">
        <v>276</v>
      </c>
      <c r="D24" s="179">
        <v>46204</v>
      </c>
      <c r="E24" s="177" t="s">
        <v>550</v>
      </c>
      <c r="F24" s="178">
        <v>28</v>
      </c>
      <c r="G24" s="180"/>
      <c r="H24" s="180"/>
    </row>
    <row r="25" spans="1:8" x14ac:dyDescent="0.3">
      <c r="A25" s="177" t="s">
        <v>575</v>
      </c>
      <c r="B25" s="177" t="s">
        <v>552</v>
      </c>
      <c r="C25" s="178">
        <v>196</v>
      </c>
      <c r="D25" s="179">
        <v>46204</v>
      </c>
      <c r="E25" s="177" t="s">
        <v>550</v>
      </c>
      <c r="F25" s="178">
        <v>1</v>
      </c>
      <c r="G25" s="180"/>
      <c r="H25" s="180"/>
    </row>
    <row r="26" spans="1:8" ht="20.399999999999999" x14ac:dyDescent="0.3">
      <c r="A26" s="177" t="s">
        <v>576</v>
      </c>
      <c r="B26" s="177" t="s">
        <v>552</v>
      </c>
      <c r="C26" s="178">
        <v>202</v>
      </c>
      <c r="D26" s="179">
        <v>46204</v>
      </c>
      <c r="E26" s="177" t="s">
        <v>550</v>
      </c>
      <c r="F26" s="178">
        <v>2</v>
      </c>
      <c r="G26" s="180"/>
      <c r="H26" s="180"/>
    </row>
    <row r="27" spans="1:8" ht="20.399999999999999" x14ac:dyDescent="0.3">
      <c r="A27" s="177" t="s">
        <v>577</v>
      </c>
      <c r="B27" s="177" t="s">
        <v>552</v>
      </c>
      <c r="C27" s="178">
        <v>206</v>
      </c>
      <c r="D27" s="179">
        <v>46204</v>
      </c>
      <c r="E27" s="177" t="s">
        <v>550</v>
      </c>
      <c r="F27" s="178">
        <v>24</v>
      </c>
      <c r="G27" s="180"/>
      <c r="H27" s="180"/>
    </row>
    <row r="28" spans="1:8" x14ac:dyDescent="0.3">
      <c r="A28" s="177" t="s">
        <v>578</v>
      </c>
      <c r="B28" s="177" t="s">
        <v>552</v>
      </c>
      <c r="C28" s="178">
        <v>212</v>
      </c>
      <c r="D28" s="179">
        <v>46204</v>
      </c>
      <c r="E28" s="177" t="s">
        <v>550</v>
      </c>
      <c r="F28" s="178">
        <v>12</v>
      </c>
      <c r="G28" s="180"/>
      <c r="H28" s="180"/>
    </row>
    <row r="29" spans="1:8" x14ac:dyDescent="0.3">
      <c r="A29" s="177" t="s">
        <v>451</v>
      </c>
      <c r="B29" s="177" t="s">
        <v>549</v>
      </c>
      <c r="C29" s="178">
        <v>8</v>
      </c>
      <c r="D29" s="179">
        <v>46204</v>
      </c>
      <c r="E29" s="177" t="s">
        <v>550</v>
      </c>
      <c r="F29" s="178">
        <v>12</v>
      </c>
      <c r="G29" s="180"/>
      <c r="H29" s="180"/>
    </row>
    <row r="30" spans="1:8" x14ac:dyDescent="0.3">
      <c r="A30" s="177" t="s">
        <v>579</v>
      </c>
      <c r="B30" s="177" t="s">
        <v>549</v>
      </c>
      <c r="C30" s="178">
        <v>32</v>
      </c>
      <c r="D30" s="179">
        <v>46204</v>
      </c>
      <c r="E30" s="177" t="s">
        <v>550</v>
      </c>
      <c r="F30" s="178">
        <v>24</v>
      </c>
      <c r="G30" s="180"/>
      <c r="H30" s="180"/>
    </row>
    <row r="31" spans="1:8" x14ac:dyDescent="0.3">
      <c r="A31" s="177" t="s">
        <v>450</v>
      </c>
      <c r="B31" s="177" t="s">
        <v>549</v>
      </c>
      <c r="C31" s="178">
        <v>34</v>
      </c>
      <c r="D31" s="179">
        <v>46204</v>
      </c>
      <c r="E31" s="177" t="s">
        <v>550</v>
      </c>
      <c r="F31" s="178">
        <v>12</v>
      </c>
      <c r="G31" s="180"/>
      <c r="H31" s="180"/>
    </row>
    <row r="32" spans="1:8" x14ac:dyDescent="0.3">
      <c r="A32" s="177" t="s">
        <v>580</v>
      </c>
      <c r="B32" s="177" t="s">
        <v>549</v>
      </c>
      <c r="C32" s="178">
        <v>36</v>
      </c>
      <c r="D32" s="179">
        <v>46204</v>
      </c>
      <c r="E32" s="177" t="s">
        <v>550</v>
      </c>
      <c r="F32" s="178">
        <v>12</v>
      </c>
      <c r="G32" s="180"/>
      <c r="H32" s="180"/>
    </row>
    <row r="33" spans="1:8" x14ac:dyDescent="0.3">
      <c r="A33" s="177" t="s">
        <v>452</v>
      </c>
      <c r="B33" s="177" t="s">
        <v>549</v>
      </c>
      <c r="C33" s="178">
        <v>38</v>
      </c>
      <c r="D33" s="179">
        <v>46204</v>
      </c>
      <c r="E33" s="177" t="s">
        <v>550</v>
      </c>
      <c r="F33" s="178">
        <v>12</v>
      </c>
      <c r="G33" s="180"/>
      <c r="H33" s="180"/>
    </row>
    <row r="34" spans="1:8" ht="20.399999999999999" x14ac:dyDescent="0.3">
      <c r="A34" s="177" t="s">
        <v>581</v>
      </c>
      <c r="B34" s="177" t="s">
        <v>552</v>
      </c>
      <c r="C34" s="178">
        <v>52</v>
      </c>
      <c r="D34" s="179">
        <v>46204</v>
      </c>
      <c r="E34" s="177" t="s">
        <v>550</v>
      </c>
      <c r="F34" s="178">
        <v>1</v>
      </c>
      <c r="G34" s="180"/>
      <c r="H34" s="180"/>
    </row>
    <row r="35" spans="1:8" ht="20.399999999999999" x14ac:dyDescent="0.3">
      <c r="A35" s="177" t="s">
        <v>436</v>
      </c>
      <c r="B35" s="177" t="s">
        <v>582</v>
      </c>
      <c r="C35" s="178">
        <v>64</v>
      </c>
      <c r="D35" s="179">
        <v>46204</v>
      </c>
      <c r="E35" s="177" t="s">
        <v>550</v>
      </c>
      <c r="F35" s="178">
        <v>12</v>
      </c>
      <c r="G35" s="180"/>
      <c r="H35" s="180"/>
    </row>
    <row r="36" spans="1:8" ht="20.399999999999999" x14ac:dyDescent="0.3">
      <c r="A36" s="177" t="s">
        <v>583</v>
      </c>
      <c r="B36" s="177" t="s">
        <v>552</v>
      </c>
      <c r="C36" s="178">
        <v>332</v>
      </c>
      <c r="D36" s="179">
        <v>46204</v>
      </c>
      <c r="E36" s="177" t="s">
        <v>550</v>
      </c>
      <c r="F36" s="178">
        <v>25</v>
      </c>
      <c r="G36" s="180"/>
      <c r="H36" s="180"/>
    </row>
    <row r="37" spans="1:8" x14ac:dyDescent="0.3">
      <c r="A37" s="177" t="s">
        <v>584</v>
      </c>
      <c r="B37" s="177" t="s">
        <v>552</v>
      </c>
      <c r="C37" s="178">
        <v>338</v>
      </c>
      <c r="D37" s="179">
        <v>46204</v>
      </c>
      <c r="E37" s="177" t="s">
        <v>550</v>
      </c>
      <c r="F37" s="178">
        <v>1</v>
      </c>
      <c r="G37" s="180"/>
      <c r="H37" s="180"/>
    </row>
    <row r="38" spans="1:8" ht="20.399999999999999" x14ac:dyDescent="0.3">
      <c r="A38" s="177" t="s">
        <v>585</v>
      </c>
      <c r="B38" s="177" t="s">
        <v>552</v>
      </c>
      <c r="C38" s="178">
        <v>340</v>
      </c>
      <c r="D38" s="179">
        <v>46204</v>
      </c>
      <c r="E38" s="177" t="s">
        <v>550</v>
      </c>
      <c r="F38" s="178">
        <v>1</v>
      </c>
      <c r="G38" s="180"/>
      <c r="H38" s="180"/>
    </row>
    <row r="39" spans="1:8" ht="20.399999999999999" x14ac:dyDescent="0.3">
      <c r="A39" s="177" t="s">
        <v>585</v>
      </c>
      <c r="B39" s="177" t="s">
        <v>552</v>
      </c>
      <c r="C39" s="178">
        <v>342</v>
      </c>
      <c r="D39" s="179">
        <v>46204</v>
      </c>
      <c r="E39" s="177" t="s">
        <v>550</v>
      </c>
      <c r="F39" s="178">
        <v>24</v>
      </c>
      <c r="G39" s="180"/>
      <c r="H39" s="180"/>
    </row>
    <row r="40" spans="1:8" ht="20.399999999999999" x14ac:dyDescent="0.3">
      <c r="A40" s="177" t="s">
        <v>586</v>
      </c>
      <c r="B40" s="177" t="s">
        <v>552</v>
      </c>
      <c r="C40" s="178">
        <v>316</v>
      </c>
      <c r="D40" s="179">
        <v>46204</v>
      </c>
      <c r="E40" s="177" t="s">
        <v>550</v>
      </c>
      <c r="F40" s="178">
        <v>24</v>
      </c>
      <c r="G40" s="180"/>
      <c r="H40" s="180"/>
    </row>
    <row r="41" spans="1:8" ht="20.399999999999999" x14ac:dyDescent="0.3">
      <c r="A41" s="177" t="s">
        <v>587</v>
      </c>
      <c r="B41" s="177" t="s">
        <v>552</v>
      </c>
      <c r="C41" s="178">
        <v>318</v>
      </c>
      <c r="D41" s="179">
        <v>46204</v>
      </c>
      <c r="E41" s="177" t="s">
        <v>550</v>
      </c>
      <c r="F41" s="178">
        <v>24</v>
      </c>
      <c r="G41" s="180"/>
      <c r="H41" s="180"/>
    </row>
    <row r="42" spans="1:8" x14ac:dyDescent="0.3">
      <c r="A42" s="177" t="s">
        <v>588</v>
      </c>
      <c r="B42" s="177" t="s">
        <v>552</v>
      </c>
      <c r="C42" s="178">
        <v>322</v>
      </c>
      <c r="D42" s="179">
        <v>46204</v>
      </c>
      <c r="E42" s="177" t="s">
        <v>550</v>
      </c>
      <c r="F42" s="178">
        <v>12</v>
      </c>
      <c r="G42" s="180"/>
      <c r="H42" s="180"/>
    </row>
    <row r="43" spans="1:8" x14ac:dyDescent="0.3">
      <c r="A43" s="177" t="s">
        <v>589</v>
      </c>
      <c r="B43" s="177" t="s">
        <v>552</v>
      </c>
      <c r="C43" s="178">
        <v>326</v>
      </c>
      <c r="D43" s="179">
        <v>46204</v>
      </c>
      <c r="E43" s="177" t="s">
        <v>550</v>
      </c>
      <c r="F43" s="178">
        <v>24</v>
      </c>
      <c r="G43" s="180"/>
      <c r="H43" s="180"/>
    </row>
    <row r="44" spans="1:8" ht="20.399999999999999" x14ac:dyDescent="0.3">
      <c r="A44" s="177" t="s">
        <v>590</v>
      </c>
      <c r="B44" s="177" t="s">
        <v>591</v>
      </c>
      <c r="C44" s="178">
        <v>52</v>
      </c>
      <c r="D44" s="179">
        <v>46204</v>
      </c>
      <c r="E44" s="177" t="s">
        <v>550</v>
      </c>
      <c r="F44" s="178">
        <v>1</v>
      </c>
      <c r="G44" s="180"/>
      <c r="H44" s="180"/>
    </row>
    <row r="45" spans="1:8" ht="20.399999999999999" x14ac:dyDescent="0.3">
      <c r="A45" s="177" t="s">
        <v>592</v>
      </c>
      <c r="B45" s="177" t="s">
        <v>552</v>
      </c>
      <c r="C45" s="178">
        <v>356</v>
      </c>
      <c r="D45" s="179">
        <v>46204</v>
      </c>
      <c r="E45" s="177" t="s">
        <v>550</v>
      </c>
      <c r="F45" s="178">
        <v>12</v>
      </c>
      <c r="G45" s="180"/>
      <c r="H45" s="180"/>
    </row>
    <row r="46" spans="1:8" x14ac:dyDescent="0.3">
      <c r="A46" s="177" t="s">
        <v>584</v>
      </c>
      <c r="B46" s="177" t="s">
        <v>552</v>
      </c>
      <c r="C46" s="178">
        <v>350</v>
      </c>
      <c r="D46" s="179">
        <v>46204</v>
      </c>
      <c r="E46" s="177" t="s">
        <v>550</v>
      </c>
      <c r="F46" s="178">
        <v>12</v>
      </c>
      <c r="G46" s="180"/>
      <c r="H46" s="180"/>
    </row>
    <row r="47" spans="1:8" ht="20.399999999999999" x14ac:dyDescent="0.3">
      <c r="A47" s="177" t="s">
        <v>593</v>
      </c>
      <c r="B47" s="177" t="s">
        <v>594</v>
      </c>
      <c r="C47" s="178">
        <v>58</v>
      </c>
      <c r="D47" s="179">
        <v>46208</v>
      </c>
      <c r="E47" s="177" t="s">
        <v>550</v>
      </c>
      <c r="F47" s="178">
        <v>12</v>
      </c>
      <c r="G47" s="180"/>
      <c r="H47" s="180"/>
    </row>
    <row r="48" spans="1:8" ht="20.399999999999999" x14ac:dyDescent="0.3">
      <c r="A48" s="177" t="s">
        <v>593</v>
      </c>
      <c r="B48" s="177" t="s">
        <v>594</v>
      </c>
      <c r="C48" s="178">
        <v>60</v>
      </c>
      <c r="D48" s="179">
        <v>46208</v>
      </c>
      <c r="E48" s="177" t="s">
        <v>550</v>
      </c>
      <c r="F48" s="178">
        <v>12</v>
      </c>
      <c r="G48" s="180"/>
      <c r="H48" s="180"/>
    </row>
    <row r="49" spans="1:8" ht="20.399999999999999" x14ac:dyDescent="0.3">
      <c r="A49" s="177" t="s">
        <v>593</v>
      </c>
      <c r="B49" s="177" t="s">
        <v>594</v>
      </c>
      <c r="C49" s="178">
        <v>62</v>
      </c>
      <c r="D49" s="179">
        <v>46208</v>
      </c>
      <c r="E49" s="177" t="s">
        <v>550</v>
      </c>
      <c r="F49" s="178">
        <v>24</v>
      </c>
      <c r="G49" s="178">
        <v>93</v>
      </c>
      <c r="H49" s="180"/>
    </row>
    <row r="50" spans="1:8" ht="20.399999999999999" x14ac:dyDescent="0.3">
      <c r="A50" s="177" t="s">
        <v>593</v>
      </c>
      <c r="B50" s="177" t="s">
        <v>594</v>
      </c>
      <c r="C50" s="178">
        <v>66</v>
      </c>
      <c r="D50" s="179">
        <v>46208</v>
      </c>
      <c r="E50" s="177" t="s">
        <v>550</v>
      </c>
      <c r="F50" s="178">
        <v>8</v>
      </c>
      <c r="G50" s="180"/>
      <c r="H50" s="180"/>
    </row>
    <row r="51" spans="1:8" ht="20.399999999999999" x14ac:dyDescent="0.3">
      <c r="A51" s="177" t="s">
        <v>593</v>
      </c>
      <c r="B51" s="177" t="s">
        <v>594</v>
      </c>
      <c r="C51" s="178">
        <v>68</v>
      </c>
      <c r="D51" s="179">
        <v>46208</v>
      </c>
      <c r="E51" s="177" t="s">
        <v>550</v>
      </c>
      <c r="F51" s="178">
        <v>12</v>
      </c>
      <c r="G51" s="180"/>
      <c r="H51" s="180"/>
    </row>
    <row r="52" spans="1:8" ht="20.399999999999999" x14ac:dyDescent="0.3">
      <c r="A52" s="177" t="s">
        <v>593</v>
      </c>
      <c r="B52" s="177" t="s">
        <v>594</v>
      </c>
      <c r="C52" s="178">
        <v>70</v>
      </c>
      <c r="D52" s="179">
        <v>46208</v>
      </c>
      <c r="E52" s="177" t="s">
        <v>550</v>
      </c>
      <c r="F52" s="178">
        <v>6</v>
      </c>
      <c r="G52" s="180"/>
      <c r="H52" s="180"/>
    </row>
    <row r="53" spans="1:8" ht="20.399999999999999" x14ac:dyDescent="0.3">
      <c r="A53" s="177" t="s">
        <v>595</v>
      </c>
      <c r="B53" s="177" t="s">
        <v>596</v>
      </c>
      <c r="C53" s="178">
        <v>42</v>
      </c>
      <c r="D53" s="179">
        <v>46208</v>
      </c>
      <c r="E53" s="177" t="s">
        <v>550</v>
      </c>
      <c r="F53" s="178">
        <v>2</v>
      </c>
      <c r="G53" s="178">
        <v>29</v>
      </c>
      <c r="H53" s="180"/>
    </row>
    <row r="54" spans="1:8" ht="20.399999999999999" x14ac:dyDescent="0.3">
      <c r="A54" s="177" t="s">
        <v>597</v>
      </c>
      <c r="B54" s="177" t="s">
        <v>598</v>
      </c>
      <c r="C54" s="178">
        <v>18</v>
      </c>
      <c r="D54" s="179">
        <v>46211</v>
      </c>
      <c r="E54" s="177" t="s">
        <v>550</v>
      </c>
      <c r="F54" s="178">
        <v>20</v>
      </c>
      <c r="G54" s="180"/>
      <c r="H54" s="180"/>
    </row>
    <row r="55" spans="1:8" ht="20.399999999999999" x14ac:dyDescent="0.3">
      <c r="A55" s="177" t="s">
        <v>599</v>
      </c>
      <c r="B55" s="177" t="s">
        <v>600</v>
      </c>
      <c r="C55" s="178">
        <v>2</v>
      </c>
      <c r="D55" s="179">
        <v>46212</v>
      </c>
      <c r="E55" s="177" t="s">
        <v>601</v>
      </c>
      <c r="F55" s="178">
        <v>9</v>
      </c>
      <c r="G55" s="178">
        <v>15</v>
      </c>
      <c r="H55" s="178">
        <v>7</v>
      </c>
    </row>
    <row r="56" spans="1:8" ht="20.399999999999999" x14ac:dyDescent="0.3">
      <c r="A56" s="177" t="s">
        <v>602</v>
      </c>
      <c r="B56" s="177" t="s">
        <v>603</v>
      </c>
      <c r="C56" s="178">
        <v>18</v>
      </c>
      <c r="D56" s="179">
        <v>46215</v>
      </c>
      <c r="E56" s="177" t="s">
        <v>550</v>
      </c>
      <c r="F56" s="178">
        <v>9</v>
      </c>
      <c r="G56" s="178">
        <v>78</v>
      </c>
      <c r="H56" s="180"/>
    </row>
    <row r="57" spans="1:8" ht="20.399999999999999" x14ac:dyDescent="0.3">
      <c r="A57" s="177" t="s">
        <v>604</v>
      </c>
      <c r="B57" s="177" t="s">
        <v>596</v>
      </c>
      <c r="C57" s="178">
        <v>124</v>
      </c>
      <c r="D57" s="179">
        <v>46215</v>
      </c>
      <c r="E57" s="177" t="s">
        <v>550</v>
      </c>
      <c r="F57" s="178">
        <v>2</v>
      </c>
      <c r="G57" s="180"/>
      <c r="H57" s="180"/>
    </row>
    <row r="58" spans="1:8" ht="20.399999999999999" x14ac:dyDescent="0.3">
      <c r="A58" s="177" t="s">
        <v>604</v>
      </c>
      <c r="B58" s="177" t="s">
        <v>596</v>
      </c>
      <c r="C58" s="178">
        <v>126</v>
      </c>
      <c r="D58" s="179">
        <v>46215</v>
      </c>
      <c r="E58" s="177" t="s">
        <v>550</v>
      </c>
      <c r="F58" s="178">
        <v>2</v>
      </c>
      <c r="G58" s="180"/>
      <c r="H58" s="180"/>
    </row>
    <row r="59" spans="1:8" ht="20.399999999999999" x14ac:dyDescent="0.3">
      <c r="A59" s="177" t="s">
        <v>605</v>
      </c>
      <c r="B59" s="177" t="s">
        <v>606</v>
      </c>
      <c r="C59" s="178">
        <v>94</v>
      </c>
      <c r="D59" s="179">
        <v>46217</v>
      </c>
      <c r="E59" s="177" t="s">
        <v>550</v>
      </c>
      <c r="F59" s="178">
        <v>7</v>
      </c>
      <c r="G59" s="178">
        <v>27</v>
      </c>
      <c r="H59" s="180"/>
    </row>
    <row r="60" spans="1:8" ht="20.399999999999999" x14ac:dyDescent="0.3">
      <c r="A60" s="177" t="s">
        <v>605</v>
      </c>
      <c r="B60" s="177" t="s">
        <v>606</v>
      </c>
      <c r="C60" s="178">
        <v>96</v>
      </c>
      <c r="D60" s="179">
        <v>46217</v>
      </c>
      <c r="E60" s="177" t="s">
        <v>550</v>
      </c>
      <c r="F60" s="178">
        <v>7</v>
      </c>
      <c r="G60" s="178">
        <v>14</v>
      </c>
      <c r="H60" s="180"/>
    </row>
    <row r="61" spans="1:8" x14ac:dyDescent="0.3">
      <c r="A61" s="177" t="s">
        <v>607</v>
      </c>
      <c r="B61" s="177" t="s">
        <v>552</v>
      </c>
      <c r="C61" s="178">
        <v>76</v>
      </c>
      <c r="D61" s="179">
        <v>46218</v>
      </c>
      <c r="E61" s="177" t="s">
        <v>550</v>
      </c>
      <c r="F61" s="178">
        <v>12</v>
      </c>
      <c r="G61" s="180"/>
      <c r="H61" s="180"/>
    </row>
    <row r="62" spans="1:8" ht="20.399999999999999" x14ac:dyDescent="0.3">
      <c r="A62" s="177" t="s">
        <v>608</v>
      </c>
      <c r="B62" s="177" t="s">
        <v>609</v>
      </c>
      <c r="C62" s="178">
        <v>20</v>
      </c>
      <c r="D62" s="179">
        <v>46221</v>
      </c>
      <c r="E62" s="177" t="s">
        <v>550</v>
      </c>
      <c r="F62" s="178">
        <v>22</v>
      </c>
      <c r="G62" s="178">
        <v>25</v>
      </c>
      <c r="H62" s="180"/>
    </row>
    <row r="63" spans="1:8" ht="20.399999999999999" x14ac:dyDescent="0.3">
      <c r="A63" s="177" t="s">
        <v>360</v>
      </c>
      <c r="B63" s="177" t="s">
        <v>591</v>
      </c>
      <c r="C63" s="178">
        <v>134</v>
      </c>
      <c r="D63" s="179">
        <v>46223</v>
      </c>
      <c r="E63" s="177" t="s">
        <v>550</v>
      </c>
      <c r="F63" s="178">
        <v>12</v>
      </c>
      <c r="G63" s="180"/>
      <c r="H63" s="180"/>
    </row>
    <row r="64" spans="1:8" ht="20.399999999999999" x14ac:dyDescent="0.3">
      <c r="A64" s="177" t="s">
        <v>610</v>
      </c>
      <c r="B64" s="177" t="s">
        <v>603</v>
      </c>
      <c r="C64" s="178">
        <v>270</v>
      </c>
      <c r="D64" s="179">
        <v>46224</v>
      </c>
      <c r="E64" s="177" t="s">
        <v>550</v>
      </c>
      <c r="F64" s="178">
        <v>22</v>
      </c>
      <c r="G64" s="178">
        <v>103</v>
      </c>
      <c r="H64" s="178">
        <v>18</v>
      </c>
    </row>
    <row r="65" spans="1:8" ht="20.399999999999999" x14ac:dyDescent="0.3">
      <c r="A65" s="177" t="s">
        <v>611</v>
      </c>
      <c r="B65" s="177" t="s">
        <v>554</v>
      </c>
      <c r="C65" s="178">
        <v>238</v>
      </c>
      <c r="D65" s="179">
        <v>46225</v>
      </c>
      <c r="E65" s="177" t="s">
        <v>550</v>
      </c>
      <c r="F65" s="178">
        <v>5</v>
      </c>
      <c r="G65" s="180"/>
      <c r="H65" s="180"/>
    </row>
    <row r="66" spans="1:8" ht="20.399999999999999" x14ac:dyDescent="0.3">
      <c r="A66" s="177" t="s">
        <v>612</v>
      </c>
      <c r="B66" s="177" t="s">
        <v>613</v>
      </c>
      <c r="C66" s="178">
        <v>2</v>
      </c>
      <c r="D66" s="179">
        <v>46229</v>
      </c>
      <c r="E66" s="177" t="s">
        <v>601</v>
      </c>
      <c r="F66" s="178">
        <v>16</v>
      </c>
      <c r="G66" s="178">
        <v>18</v>
      </c>
      <c r="H66" s="178">
        <v>1</v>
      </c>
    </row>
    <row r="67" spans="1:8" ht="20.399999999999999" x14ac:dyDescent="0.3">
      <c r="A67" s="177" t="s">
        <v>113</v>
      </c>
      <c r="B67" s="177" t="s">
        <v>554</v>
      </c>
      <c r="C67" s="178">
        <v>60</v>
      </c>
      <c r="D67" s="179">
        <v>46232</v>
      </c>
      <c r="E67" s="177" t="s">
        <v>550</v>
      </c>
      <c r="F67" s="178">
        <v>1</v>
      </c>
      <c r="G67" s="180"/>
      <c r="H67" s="180"/>
    </row>
    <row r="68" spans="1:8" ht="20.399999999999999" x14ac:dyDescent="0.3">
      <c r="A68" s="177" t="s">
        <v>602</v>
      </c>
      <c r="B68" s="177" t="s">
        <v>614</v>
      </c>
      <c r="C68" s="178">
        <v>134</v>
      </c>
      <c r="D68" s="179">
        <v>46233</v>
      </c>
      <c r="E68" s="177" t="s">
        <v>550</v>
      </c>
      <c r="F68" s="178">
        <v>2</v>
      </c>
      <c r="G68" s="180"/>
      <c r="H68" s="180"/>
    </row>
    <row r="69" spans="1:8" ht="20.399999999999999" x14ac:dyDescent="0.3">
      <c r="A69" s="177" t="s">
        <v>602</v>
      </c>
      <c r="B69" s="177" t="s">
        <v>614</v>
      </c>
      <c r="C69" s="178">
        <v>136</v>
      </c>
      <c r="D69" s="179">
        <v>46233</v>
      </c>
      <c r="E69" s="177" t="s">
        <v>550</v>
      </c>
      <c r="F69" s="178">
        <v>18</v>
      </c>
      <c r="G69" s="180"/>
      <c r="H69" s="180"/>
    </row>
    <row r="70" spans="1:8" ht="20.399999999999999" x14ac:dyDescent="0.3">
      <c r="A70" s="177" t="s">
        <v>602</v>
      </c>
      <c r="B70" s="177" t="s">
        <v>614</v>
      </c>
      <c r="C70" s="178">
        <v>138</v>
      </c>
      <c r="D70" s="179">
        <v>46233</v>
      </c>
      <c r="E70" s="177" t="s">
        <v>550</v>
      </c>
      <c r="F70" s="178">
        <v>8</v>
      </c>
      <c r="G70" s="178">
        <v>42</v>
      </c>
      <c r="H70" s="180"/>
    </row>
    <row r="71" spans="1:8" ht="20.399999999999999" x14ac:dyDescent="0.3">
      <c r="A71" s="177" t="s">
        <v>615</v>
      </c>
      <c r="B71" s="177" t="s">
        <v>616</v>
      </c>
      <c r="C71" s="178">
        <v>2</v>
      </c>
      <c r="D71" s="179">
        <v>46234</v>
      </c>
      <c r="E71" s="177" t="s">
        <v>559</v>
      </c>
      <c r="F71" s="178">
        <v>2</v>
      </c>
      <c r="G71" s="178">
        <v>3</v>
      </c>
      <c r="H71" s="180"/>
    </row>
    <row r="72" spans="1:8" ht="20.399999999999999" x14ac:dyDescent="0.3">
      <c r="A72" s="177" t="s">
        <v>617</v>
      </c>
      <c r="B72" s="177" t="s">
        <v>552</v>
      </c>
      <c r="C72" s="178">
        <v>8</v>
      </c>
      <c r="D72" s="179">
        <v>46234</v>
      </c>
      <c r="E72" s="177" t="s">
        <v>550</v>
      </c>
      <c r="F72" s="178">
        <v>48</v>
      </c>
      <c r="G72" s="180"/>
      <c r="H72" s="180"/>
    </row>
    <row r="73" spans="1:8" ht="20.399999999999999" x14ac:dyDescent="0.3">
      <c r="A73" s="177" t="s">
        <v>617</v>
      </c>
      <c r="B73" s="177" t="s">
        <v>552</v>
      </c>
      <c r="C73" s="178">
        <v>10</v>
      </c>
      <c r="D73" s="179">
        <v>46234</v>
      </c>
      <c r="E73" s="177" t="s">
        <v>550</v>
      </c>
      <c r="F73" s="178">
        <v>42</v>
      </c>
      <c r="G73" s="180"/>
      <c r="H73" s="180"/>
    </row>
    <row r="74" spans="1:8" ht="20.399999999999999" x14ac:dyDescent="0.3">
      <c r="A74" s="177" t="s">
        <v>255</v>
      </c>
      <c r="B74" s="177" t="s">
        <v>618</v>
      </c>
      <c r="C74" s="178">
        <v>40</v>
      </c>
      <c r="D74" s="179">
        <v>46235</v>
      </c>
      <c r="E74" s="177" t="s">
        <v>550</v>
      </c>
      <c r="F74" s="178">
        <v>4</v>
      </c>
      <c r="G74" s="180"/>
      <c r="H74" s="180"/>
    </row>
    <row r="75" spans="1:8" ht="20.399999999999999" x14ac:dyDescent="0.3">
      <c r="A75" s="177" t="s">
        <v>255</v>
      </c>
      <c r="B75" s="177" t="s">
        <v>618</v>
      </c>
      <c r="C75" s="178">
        <v>42</v>
      </c>
      <c r="D75" s="179">
        <v>46235</v>
      </c>
      <c r="E75" s="177" t="s">
        <v>550</v>
      </c>
      <c r="F75" s="178">
        <v>7</v>
      </c>
      <c r="G75" s="180"/>
      <c r="H75" s="180"/>
    </row>
    <row r="76" spans="1:8" ht="20.399999999999999" x14ac:dyDescent="0.3">
      <c r="A76" s="177" t="s">
        <v>255</v>
      </c>
      <c r="B76" s="177" t="s">
        <v>618</v>
      </c>
      <c r="C76" s="178">
        <v>44</v>
      </c>
      <c r="D76" s="179">
        <v>46235</v>
      </c>
      <c r="E76" s="177" t="s">
        <v>550</v>
      </c>
      <c r="F76" s="178">
        <v>3</v>
      </c>
      <c r="G76" s="180"/>
      <c r="H76" s="180"/>
    </row>
    <row r="77" spans="1:8" ht="20.399999999999999" x14ac:dyDescent="0.3">
      <c r="A77" s="177" t="s">
        <v>619</v>
      </c>
      <c r="B77" s="177" t="s">
        <v>618</v>
      </c>
      <c r="C77" s="178">
        <v>46</v>
      </c>
      <c r="D77" s="179">
        <v>46235</v>
      </c>
      <c r="E77" s="177" t="s">
        <v>550</v>
      </c>
      <c r="F77" s="178">
        <v>1</v>
      </c>
      <c r="G77" s="180"/>
      <c r="H77" s="180"/>
    </row>
    <row r="78" spans="1:8" ht="20.399999999999999" x14ac:dyDescent="0.3">
      <c r="A78" s="177" t="s">
        <v>138</v>
      </c>
      <c r="B78" s="177" t="s">
        <v>618</v>
      </c>
      <c r="C78" s="178">
        <v>50</v>
      </c>
      <c r="D78" s="179">
        <v>46235</v>
      </c>
      <c r="E78" s="177" t="s">
        <v>550</v>
      </c>
      <c r="F78" s="178">
        <v>1</v>
      </c>
      <c r="G78" s="180"/>
      <c r="H78" s="180"/>
    </row>
    <row r="79" spans="1:8" ht="20.399999999999999" x14ac:dyDescent="0.3">
      <c r="A79" s="177" t="s">
        <v>620</v>
      </c>
      <c r="B79" s="177" t="s">
        <v>621</v>
      </c>
      <c r="C79" s="178">
        <v>2</v>
      </c>
      <c r="D79" s="179">
        <v>46235</v>
      </c>
      <c r="E79" s="177" t="s">
        <v>550</v>
      </c>
      <c r="F79" s="178">
        <v>3</v>
      </c>
      <c r="G79" s="180"/>
      <c r="H79" s="180"/>
    </row>
    <row r="80" spans="1:8" ht="20.399999999999999" x14ac:dyDescent="0.3">
      <c r="A80" s="177" t="s">
        <v>620</v>
      </c>
      <c r="B80" s="177" t="s">
        <v>621</v>
      </c>
      <c r="C80" s="178">
        <v>6</v>
      </c>
      <c r="D80" s="179">
        <v>46235</v>
      </c>
      <c r="E80" s="177" t="s">
        <v>550</v>
      </c>
      <c r="F80" s="178">
        <v>1</v>
      </c>
      <c r="G80" s="180"/>
      <c r="H80" s="180"/>
    </row>
    <row r="81" spans="1:8" ht="20.399999999999999" x14ac:dyDescent="0.3">
      <c r="A81" s="177" t="s">
        <v>30</v>
      </c>
      <c r="B81" s="177" t="s">
        <v>618</v>
      </c>
      <c r="C81" s="178">
        <v>8</v>
      </c>
      <c r="D81" s="179">
        <v>46235</v>
      </c>
      <c r="E81" s="177" t="s">
        <v>550</v>
      </c>
      <c r="F81" s="178">
        <v>1</v>
      </c>
      <c r="G81" s="178">
        <v>9</v>
      </c>
      <c r="H81" s="178">
        <v>2</v>
      </c>
    </row>
    <row r="82" spans="1:8" ht="20.399999999999999" x14ac:dyDescent="0.3">
      <c r="A82" s="177" t="s">
        <v>168</v>
      </c>
      <c r="B82" s="177" t="s">
        <v>591</v>
      </c>
      <c r="C82" s="178">
        <v>112</v>
      </c>
      <c r="D82" s="179">
        <v>46235</v>
      </c>
      <c r="E82" s="177" t="s">
        <v>550</v>
      </c>
      <c r="F82" s="178">
        <v>1</v>
      </c>
      <c r="G82" s="180"/>
      <c r="H82" s="178">
        <v>0</v>
      </c>
    </row>
    <row r="83" spans="1:8" ht="20.399999999999999" x14ac:dyDescent="0.3">
      <c r="A83" s="177" t="s">
        <v>291</v>
      </c>
      <c r="B83" s="177" t="s">
        <v>591</v>
      </c>
      <c r="C83" s="178">
        <v>14</v>
      </c>
      <c r="D83" s="179">
        <v>46235</v>
      </c>
      <c r="E83" s="177" t="s">
        <v>550</v>
      </c>
      <c r="F83" s="178">
        <v>7</v>
      </c>
      <c r="G83" s="180"/>
      <c r="H83" s="180"/>
    </row>
    <row r="84" spans="1:8" ht="20.399999999999999" x14ac:dyDescent="0.3">
      <c r="A84" s="177" t="s">
        <v>620</v>
      </c>
      <c r="B84" s="177" t="s">
        <v>622</v>
      </c>
      <c r="C84" s="178">
        <v>2</v>
      </c>
      <c r="D84" s="179">
        <v>46235</v>
      </c>
      <c r="E84" s="177" t="s">
        <v>550</v>
      </c>
      <c r="F84" s="178">
        <v>1</v>
      </c>
      <c r="G84" s="178">
        <v>8</v>
      </c>
      <c r="H84" s="180"/>
    </row>
    <row r="85" spans="1:8" ht="20.399999999999999" x14ac:dyDescent="0.3">
      <c r="A85" s="177" t="s">
        <v>623</v>
      </c>
      <c r="B85" s="177" t="s">
        <v>624</v>
      </c>
      <c r="C85" s="178">
        <v>30</v>
      </c>
      <c r="D85" s="179">
        <v>46236</v>
      </c>
      <c r="E85" s="177" t="s">
        <v>550</v>
      </c>
      <c r="F85" s="178">
        <v>2</v>
      </c>
      <c r="G85" s="178">
        <v>20</v>
      </c>
      <c r="H85" s="180"/>
    </row>
    <row r="86" spans="1:8" ht="20.399999999999999" x14ac:dyDescent="0.3">
      <c r="A86" s="177" t="s">
        <v>625</v>
      </c>
      <c r="B86" s="177" t="s">
        <v>552</v>
      </c>
      <c r="C86" s="178">
        <v>194</v>
      </c>
      <c r="D86" s="179">
        <v>46237</v>
      </c>
      <c r="E86" s="177" t="s">
        <v>550</v>
      </c>
      <c r="F86" s="178">
        <v>2</v>
      </c>
      <c r="G86" s="180"/>
      <c r="H86" s="180"/>
    </row>
    <row r="87" spans="1:8" ht="20.399999999999999" x14ac:dyDescent="0.3">
      <c r="A87" s="177" t="s">
        <v>626</v>
      </c>
      <c r="B87" s="177" t="s">
        <v>552</v>
      </c>
      <c r="C87" s="178">
        <v>336</v>
      </c>
      <c r="D87" s="179">
        <v>46237</v>
      </c>
      <c r="E87" s="177" t="s">
        <v>550</v>
      </c>
      <c r="F87" s="178">
        <v>4</v>
      </c>
      <c r="G87" s="180"/>
      <c r="H87" s="180"/>
    </row>
    <row r="88" spans="1:8" x14ac:dyDescent="0.3">
      <c r="A88" s="177" t="s">
        <v>627</v>
      </c>
      <c r="B88" s="177" t="s">
        <v>552</v>
      </c>
      <c r="C88" s="178">
        <v>58</v>
      </c>
      <c r="D88" s="179">
        <v>46237</v>
      </c>
      <c r="E88" s="177" t="s">
        <v>550</v>
      </c>
      <c r="F88" s="178">
        <v>2</v>
      </c>
      <c r="G88" s="180"/>
      <c r="H88" s="180"/>
    </row>
    <row r="89" spans="1:8" ht="20.399999999999999" x14ac:dyDescent="0.3">
      <c r="A89" s="177" t="s">
        <v>628</v>
      </c>
      <c r="B89" s="177" t="s">
        <v>614</v>
      </c>
      <c r="C89" s="178">
        <v>46</v>
      </c>
      <c r="D89" s="179">
        <v>46239</v>
      </c>
      <c r="E89" s="177" t="s">
        <v>550</v>
      </c>
      <c r="F89" s="178">
        <v>4</v>
      </c>
      <c r="G89" s="178">
        <v>4</v>
      </c>
      <c r="H89" s="180"/>
    </row>
    <row r="90" spans="1:8" ht="20.399999999999999" x14ac:dyDescent="0.3">
      <c r="A90" s="177" t="s">
        <v>629</v>
      </c>
      <c r="B90" s="177" t="s">
        <v>614</v>
      </c>
      <c r="C90" s="178">
        <v>64</v>
      </c>
      <c r="D90" s="179">
        <v>46244</v>
      </c>
      <c r="E90" s="177" t="s">
        <v>550</v>
      </c>
      <c r="F90" s="178">
        <v>2</v>
      </c>
      <c r="G90" s="178">
        <v>2</v>
      </c>
      <c r="H90" s="180"/>
    </row>
    <row r="91" spans="1:8" ht="20.399999999999999" x14ac:dyDescent="0.3">
      <c r="A91" s="177" t="s">
        <v>438</v>
      </c>
      <c r="B91" s="177" t="s">
        <v>630</v>
      </c>
      <c r="C91" s="178">
        <v>14</v>
      </c>
      <c r="D91" s="179">
        <v>46245</v>
      </c>
      <c r="E91" s="177" t="s">
        <v>550</v>
      </c>
      <c r="F91" s="178">
        <v>10</v>
      </c>
      <c r="G91" s="178">
        <v>38</v>
      </c>
      <c r="H91" s="178">
        <v>0</v>
      </c>
    </row>
    <row r="92" spans="1:8" ht="20.399999999999999" x14ac:dyDescent="0.3">
      <c r="A92" s="177" t="s">
        <v>60</v>
      </c>
      <c r="B92" s="177" t="s">
        <v>631</v>
      </c>
      <c r="C92" s="178">
        <v>14</v>
      </c>
      <c r="D92" s="179">
        <v>46245</v>
      </c>
      <c r="E92" s="177" t="s">
        <v>550</v>
      </c>
      <c r="F92" s="178">
        <v>12</v>
      </c>
      <c r="G92" s="178">
        <v>13</v>
      </c>
      <c r="H92" s="180"/>
    </row>
    <row r="93" spans="1:8" ht="20.399999999999999" x14ac:dyDescent="0.3">
      <c r="A93" s="177" t="s">
        <v>438</v>
      </c>
      <c r="B93" s="177" t="s">
        <v>632</v>
      </c>
      <c r="C93" s="178">
        <v>26</v>
      </c>
      <c r="D93" s="179">
        <v>46245</v>
      </c>
      <c r="E93" s="177" t="s">
        <v>550</v>
      </c>
      <c r="F93" s="178">
        <v>12</v>
      </c>
      <c r="G93" s="178">
        <v>28</v>
      </c>
      <c r="H93" s="178">
        <v>0</v>
      </c>
    </row>
    <row r="94" spans="1:8" ht="20.399999999999999" x14ac:dyDescent="0.3">
      <c r="A94" s="177" t="s">
        <v>633</v>
      </c>
      <c r="B94" s="177" t="s">
        <v>614</v>
      </c>
      <c r="C94" s="178">
        <v>40</v>
      </c>
      <c r="D94" s="179">
        <v>46246</v>
      </c>
      <c r="E94" s="177" t="s">
        <v>550</v>
      </c>
      <c r="F94" s="178">
        <v>3</v>
      </c>
      <c r="G94" s="180"/>
      <c r="H94" s="178">
        <v>0</v>
      </c>
    </row>
    <row r="95" spans="1:8" ht="20.399999999999999" x14ac:dyDescent="0.3">
      <c r="A95" s="177" t="s">
        <v>115</v>
      </c>
      <c r="B95" s="177" t="s">
        <v>634</v>
      </c>
      <c r="C95" s="178">
        <v>48</v>
      </c>
      <c r="D95" s="179">
        <v>46247</v>
      </c>
      <c r="E95" s="177" t="s">
        <v>550</v>
      </c>
      <c r="F95" s="178">
        <v>12</v>
      </c>
      <c r="G95" s="180"/>
      <c r="H95" s="180"/>
    </row>
    <row r="96" spans="1:8" ht="20.399999999999999" x14ac:dyDescent="0.3">
      <c r="A96" s="177" t="s">
        <v>117</v>
      </c>
      <c r="B96" s="177" t="s">
        <v>582</v>
      </c>
      <c r="C96" s="178">
        <v>358</v>
      </c>
      <c r="D96" s="179">
        <v>46247</v>
      </c>
      <c r="E96" s="177" t="s">
        <v>550</v>
      </c>
      <c r="F96" s="178">
        <v>12</v>
      </c>
      <c r="G96" s="180"/>
      <c r="H96" s="180"/>
    </row>
    <row r="97" spans="1:8" ht="20.399999999999999" x14ac:dyDescent="0.3">
      <c r="A97" s="177" t="s">
        <v>118</v>
      </c>
      <c r="B97" s="177" t="s">
        <v>582</v>
      </c>
      <c r="C97" s="178">
        <v>380</v>
      </c>
      <c r="D97" s="179">
        <v>46247</v>
      </c>
      <c r="E97" s="177" t="s">
        <v>550</v>
      </c>
      <c r="F97" s="178">
        <v>6</v>
      </c>
      <c r="G97" s="178">
        <v>60</v>
      </c>
      <c r="H97" s="180"/>
    </row>
    <row r="98" spans="1:8" ht="20.399999999999999" x14ac:dyDescent="0.3">
      <c r="A98" s="177" t="s">
        <v>635</v>
      </c>
      <c r="B98" s="177" t="s">
        <v>636</v>
      </c>
      <c r="C98" s="178">
        <v>2</v>
      </c>
      <c r="D98" s="179">
        <v>46249</v>
      </c>
      <c r="E98" s="177" t="s">
        <v>637</v>
      </c>
      <c r="F98" s="178">
        <v>92</v>
      </c>
      <c r="G98" s="178">
        <v>95</v>
      </c>
      <c r="H98" s="180"/>
    </row>
    <row r="99" spans="1:8" ht="20.399999999999999" x14ac:dyDescent="0.3">
      <c r="A99" s="177" t="s">
        <v>638</v>
      </c>
      <c r="B99" s="177" t="s">
        <v>636</v>
      </c>
      <c r="C99" s="178">
        <v>4</v>
      </c>
      <c r="D99" s="179">
        <v>46249</v>
      </c>
      <c r="E99" s="177" t="s">
        <v>637</v>
      </c>
      <c r="F99" s="178">
        <v>92</v>
      </c>
      <c r="G99" s="178">
        <v>95</v>
      </c>
      <c r="H99" s="178">
        <v>1</v>
      </c>
    </row>
    <row r="100" spans="1:8" ht="20.399999999999999" x14ac:dyDescent="0.3">
      <c r="A100" s="177" t="s">
        <v>639</v>
      </c>
      <c r="B100" s="177" t="s">
        <v>640</v>
      </c>
      <c r="C100" s="178">
        <v>2</v>
      </c>
      <c r="D100" s="179">
        <v>46249</v>
      </c>
      <c r="E100" s="177" t="s">
        <v>550</v>
      </c>
      <c r="F100" s="178">
        <v>8</v>
      </c>
      <c r="G100" s="178">
        <v>320</v>
      </c>
      <c r="H100" s="180"/>
    </row>
    <row r="101" spans="1:8" ht="20.399999999999999" x14ac:dyDescent="0.3">
      <c r="A101" s="177" t="s">
        <v>641</v>
      </c>
      <c r="B101" s="177" t="s">
        <v>642</v>
      </c>
      <c r="C101" s="178">
        <v>4</v>
      </c>
      <c r="D101" s="179">
        <v>46249</v>
      </c>
      <c r="E101" s="177" t="s">
        <v>637</v>
      </c>
      <c r="F101" s="178">
        <v>181</v>
      </c>
      <c r="G101" s="178">
        <v>188</v>
      </c>
      <c r="H101" s="180"/>
    </row>
    <row r="102" spans="1:8" ht="20.399999999999999" x14ac:dyDescent="0.3">
      <c r="A102" s="177" t="s">
        <v>643</v>
      </c>
      <c r="B102" s="177" t="s">
        <v>644</v>
      </c>
      <c r="C102" s="178">
        <v>2</v>
      </c>
      <c r="D102" s="179">
        <v>46249</v>
      </c>
      <c r="E102" s="177" t="s">
        <v>637</v>
      </c>
      <c r="F102" s="178">
        <v>25</v>
      </c>
      <c r="G102" s="178">
        <v>225</v>
      </c>
      <c r="H102" s="180"/>
    </row>
    <row r="103" spans="1:8" ht="20.399999999999999" x14ac:dyDescent="0.3">
      <c r="A103" s="177" t="s">
        <v>643</v>
      </c>
      <c r="B103" s="177" t="s">
        <v>644</v>
      </c>
      <c r="C103" s="178">
        <v>4</v>
      </c>
      <c r="D103" s="179">
        <v>46249</v>
      </c>
      <c r="E103" s="177" t="s">
        <v>637</v>
      </c>
      <c r="F103" s="178">
        <v>200</v>
      </c>
      <c r="G103" s="180"/>
      <c r="H103" s="180"/>
    </row>
    <row r="104" spans="1:8" ht="20.399999999999999" x14ac:dyDescent="0.3">
      <c r="A104" s="177" t="s">
        <v>645</v>
      </c>
      <c r="B104" s="177" t="s">
        <v>644</v>
      </c>
      <c r="C104" s="178">
        <v>6</v>
      </c>
      <c r="D104" s="179">
        <v>46249</v>
      </c>
      <c r="E104" s="177" t="s">
        <v>637</v>
      </c>
      <c r="F104" s="178">
        <v>10</v>
      </c>
      <c r="G104" s="178">
        <v>15</v>
      </c>
      <c r="H104" s="180"/>
    </row>
    <row r="105" spans="1:8" ht="20.399999999999999" x14ac:dyDescent="0.3">
      <c r="A105" s="177" t="s">
        <v>639</v>
      </c>
      <c r="B105" s="177" t="s">
        <v>646</v>
      </c>
      <c r="C105" s="178">
        <v>2</v>
      </c>
      <c r="D105" s="179">
        <v>46249</v>
      </c>
      <c r="E105" s="177" t="s">
        <v>550</v>
      </c>
      <c r="F105" s="178">
        <v>9</v>
      </c>
      <c r="G105" s="180"/>
      <c r="H105" s="180"/>
    </row>
    <row r="106" spans="1:8" ht="20.399999999999999" x14ac:dyDescent="0.3">
      <c r="A106" s="177" t="s">
        <v>639</v>
      </c>
      <c r="B106" s="177" t="s">
        <v>647</v>
      </c>
      <c r="C106" s="178">
        <v>2</v>
      </c>
      <c r="D106" s="179">
        <v>46249</v>
      </c>
      <c r="E106" s="177" t="s">
        <v>550</v>
      </c>
      <c r="F106" s="178">
        <v>9</v>
      </c>
      <c r="G106" s="180"/>
      <c r="H106" s="180"/>
    </row>
    <row r="107" spans="1:8" ht="20.399999999999999" x14ac:dyDescent="0.3">
      <c r="A107" s="177" t="s">
        <v>648</v>
      </c>
      <c r="B107" s="177" t="s">
        <v>614</v>
      </c>
      <c r="C107" s="178">
        <v>128</v>
      </c>
      <c r="D107" s="179">
        <v>46249</v>
      </c>
      <c r="E107" s="177" t="s">
        <v>550</v>
      </c>
      <c r="F107" s="178">
        <v>4</v>
      </c>
      <c r="G107" s="180"/>
      <c r="H107" s="178">
        <v>0</v>
      </c>
    </row>
    <row r="108" spans="1:8" ht="20.399999999999999" x14ac:dyDescent="0.3">
      <c r="A108" s="177" t="s">
        <v>648</v>
      </c>
      <c r="B108" s="177" t="s">
        <v>614</v>
      </c>
      <c r="C108" s="178">
        <v>130</v>
      </c>
      <c r="D108" s="179">
        <v>46249</v>
      </c>
      <c r="E108" s="177" t="s">
        <v>550</v>
      </c>
      <c r="F108" s="178">
        <v>8</v>
      </c>
      <c r="G108" s="180"/>
      <c r="H108" s="178">
        <v>0</v>
      </c>
    </row>
    <row r="109" spans="1:8" ht="20.399999999999999" x14ac:dyDescent="0.3">
      <c r="A109" s="177" t="s">
        <v>648</v>
      </c>
      <c r="B109" s="177" t="s">
        <v>614</v>
      </c>
      <c r="C109" s="178">
        <v>132</v>
      </c>
      <c r="D109" s="179">
        <v>46249</v>
      </c>
      <c r="E109" s="177" t="s">
        <v>550</v>
      </c>
      <c r="F109" s="178">
        <v>5</v>
      </c>
      <c r="G109" s="180"/>
      <c r="H109" s="178">
        <v>0</v>
      </c>
    </row>
    <row r="110" spans="1:8" ht="20.399999999999999" x14ac:dyDescent="0.3">
      <c r="A110" s="177" t="s">
        <v>648</v>
      </c>
      <c r="B110" s="177" t="s">
        <v>603</v>
      </c>
      <c r="C110" s="178">
        <v>72</v>
      </c>
      <c r="D110" s="179">
        <v>46249</v>
      </c>
      <c r="E110" s="177" t="s">
        <v>550</v>
      </c>
      <c r="F110" s="178">
        <v>8</v>
      </c>
      <c r="G110" s="178">
        <v>30</v>
      </c>
      <c r="H110" s="178">
        <v>0</v>
      </c>
    </row>
    <row r="111" spans="1:8" ht="20.399999999999999" x14ac:dyDescent="0.3">
      <c r="A111" s="177" t="s">
        <v>440</v>
      </c>
      <c r="B111" s="177" t="s">
        <v>649</v>
      </c>
      <c r="C111" s="178">
        <v>410</v>
      </c>
      <c r="D111" s="179">
        <v>46250</v>
      </c>
      <c r="E111" s="177" t="s">
        <v>550</v>
      </c>
      <c r="F111" s="178">
        <v>6</v>
      </c>
      <c r="G111" s="178">
        <v>39</v>
      </c>
      <c r="H111" s="178">
        <v>0</v>
      </c>
    </row>
    <row r="112" spans="1:8" ht="20.399999999999999" x14ac:dyDescent="0.3">
      <c r="A112" s="177" t="s">
        <v>593</v>
      </c>
      <c r="B112" s="177" t="s">
        <v>596</v>
      </c>
      <c r="C112" s="178">
        <v>44</v>
      </c>
      <c r="D112" s="179">
        <v>46250</v>
      </c>
      <c r="E112" s="177" t="s">
        <v>550</v>
      </c>
      <c r="F112" s="178">
        <v>10</v>
      </c>
      <c r="G112" s="180"/>
      <c r="H112" s="180"/>
    </row>
    <row r="113" spans="1:8" ht="20.399999999999999" x14ac:dyDescent="0.3">
      <c r="A113" s="177" t="s">
        <v>593</v>
      </c>
      <c r="B113" s="177" t="s">
        <v>596</v>
      </c>
      <c r="C113" s="178">
        <v>46</v>
      </c>
      <c r="D113" s="179">
        <v>46250</v>
      </c>
      <c r="E113" s="177" t="s">
        <v>550</v>
      </c>
      <c r="F113" s="178">
        <v>4</v>
      </c>
      <c r="G113" s="180"/>
      <c r="H113" s="180"/>
    </row>
    <row r="114" spans="1:8" ht="20.399999999999999" x14ac:dyDescent="0.3">
      <c r="A114" s="177" t="s">
        <v>440</v>
      </c>
      <c r="B114" s="177" t="s">
        <v>650</v>
      </c>
      <c r="C114" s="178">
        <v>60</v>
      </c>
      <c r="D114" s="179">
        <v>46250</v>
      </c>
      <c r="E114" s="177" t="s">
        <v>550</v>
      </c>
      <c r="F114" s="178">
        <v>8</v>
      </c>
      <c r="G114" s="180"/>
      <c r="H114" s="178">
        <v>0</v>
      </c>
    </row>
    <row r="115" spans="1:8" ht="20.399999999999999" x14ac:dyDescent="0.3">
      <c r="A115" s="177" t="s">
        <v>440</v>
      </c>
      <c r="B115" s="177" t="s">
        <v>650</v>
      </c>
      <c r="C115" s="178">
        <v>62</v>
      </c>
      <c r="D115" s="179">
        <v>46250</v>
      </c>
      <c r="E115" s="177" t="s">
        <v>550</v>
      </c>
      <c r="F115" s="178">
        <v>25</v>
      </c>
      <c r="G115" s="180"/>
      <c r="H115" s="178">
        <v>0</v>
      </c>
    </row>
    <row r="116" spans="1:8" ht="20.399999999999999" x14ac:dyDescent="0.3">
      <c r="A116" s="177" t="s">
        <v>24</v>
      </c>
      <c r="B116" s="177" t="s">
        <v>649</v>
      </c>
      <c r="C116" s="178">
        <v>40</v>
      </c>
      <c r="D116" s="179">
        <v>46251</v>
      </c>
      <c r="E116" s="177" t="s">
        <v>550</v>
      </c>
      <c r="F116" s="178">
        <v>11</v>
      </c>
      <c r="G116" s="178">
        <v>4</v>
      </c>
      <c r="H116" s="180"/>
    </row>
    <row r="117" spans="1:8" ht="20.399999999999999" x14ac:dyDescent="0.3">
      <c r="A117" s="177" t="s">
        <v>437</v>
      </c>
      <c r="B117" s="177" t="s">
        <v>650</v>
      </c>
      <c r="C117" s="178">
        <v>94</v>
      </c>
      <c r="D117" s="179">
        <v>46252</v>
      </c>
      <c r="E117" s="177" t="s">
        <v>550</v>
      </c>
      <c r="F117" s="178">
        <v>5</v>
      </c>
      <c r="G117" s="178">
        <v>34</v>
      </c>
      <c r="H117" s="178">
        <v>3</v>
      </c>
    </row>
    <row r="118" spans="1:8" ht="20.399999999999999" x14ac:dyDescent="0.3">
      <c r="A118" s="177" t="s">
        <v>454</v>
      </c>
      <c r="B118" s="177" t="s">
        <v>651</v>
      </c>
      <c r="C118" s="178">
        <v>20</v>
      </c>
      <c r="D118" s="179">
        <v>46253</v>
      </c>
      <c r="E118" s="177" t="s">
        <v>550</v>
      </c>
      <c r="F118" s="178">
        <v>2</v>
      </c>
      <c r="G118" s="178">
        <v>5</v>
      </c>
      <c r="H118" s="178">
        <v>0</v>
      </c>
    </row>
    <row r="119" spans="1:8" ht="20.399999999999999" x14ac:dyDescent="0.3">
      <c r="A119" s="177" t="s">
        <v>30</v>
      </c>
      <c r="B119" s="177" t="s">
        <v>649</v>
      </c>
      <c r="C119" s="178">
        <v>48</v>
      </c>
      <c r="D119" s="179">
        <v>46254</v>
      </c>
      <c r="E119" s="177" t="s">
        <v>550</v>
      </c>
      <c r="F119" s="178">
        <v>2</v>
      </c>
      <c r="G119" s="180"/>
      <c r="H119" s="178">
        <v>2</v>
      </c>
    </row>
    <row r="120" spans="1:8" ht="20.399999999999999" x14ac:dyDescent="0.3">
      <c r="A120" s="177" t="s">
        <v>30</v>
      </c>
      <c r="B120" s="177" t="s">
        <v>631</v>
      </c>
      <c r="C120" s="178">
        <v>184</v>
      </c>
      <c r="D120" s="179">
        <v>46254</v>
      </c>
      <c r="E120" s="177" t="s">
        <v>550</v>
      </c>
      <c r="F120" s="178">
        <v>6</v>
      </c>
      <c r="G120" s="180"/>
      <c r="H120" s="178">
        <v>2</v>
      </c>
    </row>
    <row r="121" spans="1:8" ht="20.399999999999999" x14ac:dyDescent="0.3">
      <c r="A121" s="177" t="s">
        <v>444</v>
      </c>
      <c r="B121" s="177" t="s">
        <v>652</v>
      </c>
      <c r="C121" s="178">
        <v>18</v>
      </c>
      <c r="D121" s="179">
        <v>46254</v>
      </c>
      <c r="E121" s="177" t="s">
        <v>550</v>
      </c>
      <c r="F121" s="178">
        <v>24</v>
      </c>
      <c r="G121" s="180"/>
      <c r="H121" s="178">
        <v>10</v>
      </c>
    </row>
    <row r="122" spans="1:8" ht="20.399999999999999" x14ac:dyDescent="0.3">
      <c r="A122" s="177" t="s">
        <v>444</v>
      </c>
      <c r="B122" s="177" t="s">
        <v>652</v>
      </c>
      <c r="C122" s="178">
        <v>20</v>
      </c>
      <c r="D122" s="179">
        <v>46254</v>
      </c>
      <c r="E122" s="177" t="s">
        <v>550</v>
      </c>
      <c r="F122" s="178">
        <v>24</v>
      </c>
      <c r="G122" s="180"/>
      <c r="H122" s="178">
        <v>10</v>
      </c>
    </row>
    <row r="123" spans="1:8" ht="20.399999999999999" x14ac:dyDescent="0.3">
      <c r="A123" s="177" t="s">
        <v>30</v>
      </c>
      <c r="B123" s="177" t="s">
        <v>653</v>
      </c>
      <c r="C123" s="178">
        <v>30</v>
      </c>
      <c r="D123" s="179">
        <v>46254</v>
      </c>
      <c r="E123" s="177" t="s">
        <v>550</v>
      </c>
      <c r="F123" s="178">
        <v>4</v>
      </c>
      <c r="G123" s="180"/>
      <c r="H123" s="178">
        <v>2</v>
      </c>
    </row>
    <row r="124" spans="1:8" ht="20.399999999999999" x14ac:dyDescent="0.3">
      <c r="A124" s="177" t="s">
        <v>654</v>
      </c>
      <c r="B124" s="177" t="s">
        <v>655</v>
      </c>
      <c r="C124" s="178">
        <v>14</v>
      </c>
      <c r="D124" s="179">
        <v>46254</v>
      </c>
      <c r="E124" s="177" t="s">
        <v>550</v>
      </c>
      <c r="F124" s="178">
        <v>2</v>
      </c>
      <c r="G124" s="178">
        <v>3</v>
      </c>
      <c r="H124" s="180"/>
    </row>
    <row r="125" spans="1:8" ht="20.399999999999999" x14ac:dyDescent="0.3">
      <c r="A125" s="177" t="s">
        <v>639</v>
      </c>
      <c r="B125" s="177" t="s">
        <v>603</v>
      </c>
      <c r="C125" s="178">
        <v>264</v>
      </c>
      <c r="D125" s="179">
        <v>46256</v>
      </c>
      <c r="E125" s="177" t="s">
        <v>550</v>
      </c>
      <c r="F125" s="178">
        <v>107</v>
      </c>
      <c r="G125" s="178">
        <v>546</v>
      </c>
      <c r="H125" s="180"/>
    </row>
    <row r="126" spans="1:8" ht="20.399999999999999" x14ac:dyDescent="0.3">
      <c r="A126" s="177" t="s">
        <v>172</v>
      </c>
      <c r="B126" s="177" t="s">
        <v>656</v>
      </c>
      <c r="C126" s="178">
        <v>114</v>
      </c>
      <c r="D126" s="179">
        <v>46257</v>
      </c>
      <c r="E126" s="177" t="s">
        <v>550</v>
      </c>
      <c r="F126" s="178">
        <v>12</v>
      </c>
      <c r="G126" s="180"/>
      <c r="H126" s="178">
        <v>37</v>
      </c>
    </row>
    <row r="127" spans="1:8" ht="20.399999999999999" x14ac:dyDescent="0.3">
      <c r="A127" s="177" t="s">
        <v>172</v>
      </c>
      <c r="B127" s="177" t="s">
        <v>656</v>
      </c>
      <c r="C127" s="178">
        <v>116</v>
      </c>
      <c r="D127" s="179">
        <v>46257</v>
      </c>
      <c r="E127" s="177" t="s">
        <v>550</v>
      </c>
      <c r="F127" s="178">
        <v>12</v>
      </c>
      <c r="G127" s="180"/>
      <c r="H127" s="178">
        <v>37</v>
      </c>
    </row>
    <row r="128" spans="1:8" ht="20.399999999999999" x14ac:dyDescent="0.3">
      <c r="A128" s="177" t="s">
        <v>42</v>
      </c>
      <c r="B128" s="177" t="s">
        <v>657</v>
      </c>
      <c r="C128" s="178">
        <v>12</v>
      </c>
      <c r="D128" s="179">
        <v>46258</v>
      </c>
      <c r="E128" s="177" t="s">
        <v>550</v>
      </c>
      <c r="F128" s="178">
        <v>4</v>
      </c>
      <c r="G128" s="178">
        <v>15</v>
      </c>
      <c r="H128" s="178">
        <v>1</v>
      </c>
    </row>
    <row r="129" spans="1:8" ht="20.399999999999999" x14ac:dyDescent="0.3">
      <c r="A129" s="177" t="s">
        <v>96</v>
      </c>
      <c r="B129" s="177" t="s">
        <v>658</v>
      </c>
      <c r="C129" s="178">
        <v>384</v>
      </c>
      <c r="D129" s="179">
        <v>46258</v>
      </c>
      <c r="E129" s="177" t="s">
        <v>550</v>
      </c>
      <c r="F129" s="178">
        <v>24</v>
      </c>
      <c r="G129" s="178">
        <v>75</v>
      </c>
      <c r="H129" s="180"/>
    </row>
    <row r="130" spans="1:8" ht="20.399999999999999" x14ac:dyDescent="0.3">
      <c r="A130" s="177" t="s">
        <v>659</v>
      </c>
      <c r="B130" s="177" t="s">
        <v>660</v>
      </c>
      <c r="C130" s="178">
        <v>58</v>
      </c>
      <c r="D130" s="179">
        <v>46259</v>
      </c>
      <c r="E130" s="177" t="s">
        <v>550</v>
      </c>
      <c r="F130" s="178">
        <v>1</v>
      </c>
      <c r="G130" s="178">
        <v>1</v>
      </c>
      <c r="H130" s="180"/>
    </row>
    <row r="131" spans="1:8" ht="20.399999999999999" x14ac:dyDescent="0.3">
      <c r="A131" s="177" t="s">
        <v>77</v>
      </c>
      <c r="B131" s="177" t="s">
        <v>661</v>
      </c>
      <c r="C131" s="178">
        <v>484</v>
      </c>
      <c r="D131" s="179">
        <v>46260</v>
      </c>
      <c r="E131" s="177" t="s">
        <v>550</v>
      </c>
      <c r="F131" s="178">
        <v>3</v>
      </c>
      <c r="G131" s="178">
        <v>26</v>
      </c>
      <c r="H131" s="180"/>
    </row>
    <row r="132" spans="1:8" ht="20.399999999999999" x14ac:dyDescent="0.3">
      <c r="A132" s="177" t="s">
        <v>77</v>
      </c>
      <c r="B132" s="177" t="s">
        <v>662</v>
      </c>
      <c r="C132" s="178">
        <v>18</v>
      </c>
      <c r="D132" s="179">
        <v>46260</v>
      </c>
      <c r="E132" s="177" t="s">
        <v>550</v>
      </c>
      <c r="F132" s="178">
        <v>4</v>
      </c>
      <c r="G132" s="178">
        <v>10</v>
      </c>
      <c r="H132" s="180"/>
    </row>
    <row r="133" spans="1:8" ht="20.399999999999999" x14ac:dyDescent="0.3">
      <c r="A133" s="177" t="s">
        <v>77</v>
      </c>
      <c r="B133" s="177" t="s">
        <v>653</v>
      </c>
      <c r="C133" s="178">
        <v>22</v>
      </c>
      <c r="D133" s="179">
        <v>46260</v>
      </c>
      <c r="E133" s="177" t="s">
        <v>550</v>
      </c>
      <c r="F133" s="178">
        <v>5</v>
      </c>
      <c r="G133" s="180"/>
      <c r="H133" s="180"/>
    </row>
    <row r="134" spans="1:8" ht="20.399999999999999" x14ac:dyDescent="0.3">
      <c r="A134" s="177" t="s">
        <v>105</v>
      </c>
      <c r="B134" s="177" t="s">
        <v>662</v>
      </c>
      <c r="C134" s="178">
        <v>90</v>
      </c>
      <c r="D134" s="179">
        <v>46261</v>
      </c>
      <c r="E134" s="177" t="s">
        <v>550</v>
      </c>
      <c r="F134" s="178">
        <v>5</v>
      </c>
      <c r="G134" s="178">
        <v>10</v>
      </c>
      <c r="H134" s="178">
        <v>3</v>
      </c>
    </row>
    <row r="135" spans="1:8" ht="20.399999999999999" x14ac:dyDescent="0.3">
      <c r="A135" s="177" t="s">
        <v>105</v>
      </c>
      <c r="B135" s="177" t="s">
        <v>661</v>
      </c>
      <c r="C135" s="178">
        <v>264</v>
      </c>
      <c r="D135" s="179">
        <v>46261</v>
      </c>
      <c r="E135" s="177" t="s">
        <v>550</v>
      </c>
      <c r="F135" s="178">
        <v>1</v>
      </c>
      <c r="G135" s="178">
        <v>11</v>
      </c>
      <c r="H135" s="178">
        <v>3</v>
      </c>
    </row>
    <row r="136" spans="1:8" ht="20.399999999999999" x14ac:dyDescent="0.3">
      <c r="A136" s="177" t="s">
        <v>105</v>
      </c>
      <c r="B136" s="177" t="s">
        <v>649</v>
      </c>
      <c r="C136" s="178">
        <v>312</v>
      </c>
      <c r="D136" s="179">
        <v>46261</v>
      </c>
      <c r="E136" s="177" t="s">
        <v>550</v>
      </c>
      <c r="F136" s="178">
        <v>4</v>
      </c>
      <c r="G136" s="178">
        <v>17</v>
      </c>
      <c r="H136" s="178">
        <v>3</v>
      </c>
    </row>
    <row r="137" spans="1:8" ht="20.399999999999999" x14ac:dyDescent="0.3">
      <c r="A137" s="177" t="s">
        <v>663</v>
      </c>
      <c r="B137" s="177" t="s">
        <v>664</v>
      </c>
      <c r="C137" s="178">
        <v>26</v>
      </c>
      <c r="D137" s="179">
        <v>46263</v>
      </c>
      <c r="E137" s="177" t="s">
        <v>550</v>
      </c>
      <c r="F137" s="178">
        <v>14</v>
      </c>
      <c r="G137" s="178">
        <v>190</v>
      </c>
      <c r="H137" s="180"/>
    </row>
    <row r="138" spans="1:8" ht="20.399999999999999" x14ac:dyDescent="0.3">
      <c r="A138" s="177" t="s">
        <v>665</v>
      </c>
      <c r="B138" s="177" t="s">
        <v>664</v>
      </c>
      <c r="C138" s="178">
        <v>10</v>
      </c>
      <c r="D138" s="179">
        <v>46264</v>
      </c>
      <c r="E138" s="177" t="s">
        <v>550</v>
      </c>
      <c r="F138" s="178">
        <v>12</v>
      </c>
      <c r="G138" s="180"/>
      <c r="H138" s="180"/>
    </row>
    <row r="139" spans="1:8" ht="20.399999999999999" x14ac:dyDescent="0.3">
      <c r="A139" s="177" t="s">
        <v>665</v>
      </c>
      <c r="B139" s="177" t="s">
        <v>664</v>
      </c>
      <c r="C139" s="178">
        <v>12</v>
      </c>
      <c r="D139" s="179">
        <v>46264</v>
      </c>
      <c r="E139" s="177" t="s">
        <v>550</v>
      </c>
      <c r="F139" s="178">
        <v>11</v>
      </c>
      <c r="G139" s="180"/>
      <c r="H139" s="180"/>
    </row>
    <row r="140" spans="1:8" ht="20.399999999999999" x14ac:dyDescent="0.3">
      <c r="A140" s="177" t="s">
        <v>467</v>
      </c>
      <c r="B140" s="177" t="s">
        <v>649</v>
      </c>
      <c r="C140" s="178">
        <v>238</v>
      </c>
      <c r="D140" s="179">
        <v>46264</v>
      </c>
      <c r="E140" s="177" t="s">
        <v>550</v>
      </c>
      <c r="F140" s="178">
        <v>19</v>
      </c>
      <c r="G140" s="178">
        <v>19</v>
      </c>
      <c r="H140" s="180"/>
    </row>
    <row r="141" spans="1:8" ht="20.399999999999999" x14ac:dyDescent="0.3">
      <c r="A141" s="177" t="s">
        <v>665</v>
      </c>
      <c r="B141" s="177" t="s">
        <v>596</v>
      </c>
      <c r="C141" s="178">
        <v>16</v>
      </c>
      <c r="D141" s="179">
        <v>46264</v>
      </c>
      <c r="E141" s="177" t="s">
        <v>550</v>
      </c>
      <c r="F141" s="178">
        <v>10</v>
      </c>
      <c r="G141" s="180"/>
      <c r="H141" s="180"/>
    </row>
    <row r="142" spans="1:8" ht="20.399999999999999" x14ac:dyDescent="0.3">
      <c r="A142" s="177" t="s">
        <v>665</v>
      </c>
      <c r="B142" s="177" t="s">
        <v>596</v>
      </c>
      <c r="C142" s="178">
        <v>18</v>
      </c>
      <c r="D142" s="179">
        <v>46264</v>
      </c>
      <c r="E142" s="177" t="s">
        <v>550</v>
      </c>
      <c r="F142" s="178">
        <v>4</v>
      </c>
      <c r="G142" s="180"/>
      <c r="H142" s="180"/>
    </row>
    <row r="143" spans="1:8" ht="20.399999999999999" x14ac:dyDescent="0.3">
      <c r="A143" s="177" t="s">
        <v>595</v>
      </c>
      <c r="B143" s="177" t="s">
        <v>594</v>
      </c>
      <c r="C143" s="178">
        <v>44</v>
      </c>
      <c r="D143" s="179">
        <v>46264</v>
      </c>
      <c r="E143" s="177" t="s">
        <v>550</v>
      </c>
      <c r="F143" s="178">
        <v>12</v>
      </c>
      <c r="G143" s="180"/>
      <c r="H143" s="180"/>
    </row>
    <row r="144" spans="1:8" ht="20.399999999999999" x14ac:dyDescent="0.3">
      <c r="A144" s="177" t="s">
        <v>595</v>
      </c>
      <c r="B144" s="177" t="s">
        <v>594</v>
      </c>
      <c r="C144" s="178">
        <v>50</v>
      </c>
      <c r="D144" s="179">
        <v>46264</v>
      </c>
      <c r="E144" s="177" t="s">
        <v>550</v>
      </c>
      <c r="F144" s="178">
        <v>4</v>
      </c>
      <c r="G144" s="180"/>
      <c r="H144" s="180"/>
    </row>
    <row r="145" spans="1:8" ht="20.399999999999999" x14ac:dyDescent="0.3">
      <c r="A145" s="177" t="s">
        <v>595</v>
      </c>
      <c r="B145" s="177" t="s">
        <v>594</v>
      </c>
      <c r="C145" s="178">
        <v>52</v>
      </c>
      <c r="D145" s="179">
        <v>46264</v>
      </c>
      <c r="E145" s="177" t="s">
        <v>550</v>
      </c>
      <c r="F145" s="178">
        <v>8</v>
      </c>
      <c r="G145" s="180"/>
      <c r="H145" s="180"/>
    </row>
    <row r="146" spans="1:8" x14ac:dyDescent="0.3">
      <c r="A146" s="177" t="s">
        <v>666</v>
      </c>
      <c r="B146" s="177" t="s">
        <v>667</v>
      </c>
      <c r="C146" s="178">
        <v>50</v>
      </c>
      <c r="D146" s="179">
        <v>46264</v>
      </c>
      <c r="E146" s="177" t="s">
        <v>550</v>
      </c>
      <c r="F146" s="178">
        <v>12</v>
      </c>
      <c r="G146" s="178">
        <v>27</v>
      </c>
      <c r="H146" s="180"/>
    </row>
    <row r="147" spans="1:8" x14ac:dyDescent="0.3">
      <c r="A147" s="177" t="s">
        <v>668</v>
      </c>
      <c r="B147" s="177" t="s">
        <v>667</v>
      </c>
      <c r="C147" s="178">
        <v>60</v>
      </c>
      <c r="D147" s="179">
        <v>46264</v>
      </c>
      <c r="E147" s="177" t="s">
        <v>550</v>
      </c>
      <c r="F147" s="178">
        <v>12</v>
      </c>
      <c r="G147" s="178">
        <v>37</v>
      </c>
      <c r="H147" s="180"/>
    </row>
    <row r="148" spans="1:8" ht="20.399999999999999" x14ac:dyDescent="0.3">
      <c r="A148" s="177" t="s">
        <v>180</v>
      </c>
      <c r="B148" s="177" t="s">
        <v>662</v>
      </c>
      <c r="C148" s="178">
        <v>296</v>
      </c>
      <c r="D148" s="179">
        <v>46264</v>
      </c>
      <c r="E148" s="177" t="s">
        <v>550</v>
      </c>
      <c r="F148" s="178">
        <v>3</v>
      </c>
      <c r="G148" s="178">
        <v>28</v>
      </c>
      <c r="H148" s="180"/>
    </row>
    <row r="149" spans="1:8" ht="20.399999999999999" x14ac:dyDescent="0.3">
      <c r="A149" s="177" t="s">
        <v>331</v>
      </c>
      <c r="B149" s="177" t="s">
        <v>662</v>
      </c>
      <c r="C149" s="178">
        <v>58</v>
      </c>
      <c r="D149" s="179">
        <v>46264</v>
      </c>
      <c r="E149" s="177" t="s">
        <v>550</v>
      </c>
      <c r="F149" s="178">
        <v>61</v>
      </c>
      <c r="G149" s="178">
        <v>200</v>
      </c>
      <c r="H149" s="178">
        <v>1</v>
      </c>
    </row>
    <row r="150" spans="1:8" ht="20.399999999999999" x14ac:dyDescent="0.3">
      <c r="A150" s="177" t="s">
        <v>141</v>
      </c>
      <c r="B150" s="177" t="s">
        <v>669</v>
      </c>
      <c r="C150" s="178">
        <v>102</v>
      </c>
      <c r="D150" s="179">
        <v>46264</v>
      </c>
      <c r="E150" s="177" t="s">
        <v>550</v>
      </c>
      <c r="F150" s="178">
        <v>8</v>
      </c>
      <c r="G150" s="178">
        <v>56</v>
      </c>
      <c r="H150" s="180"/>
    </row>
    <row r="151" spans="1:8" ht="20.399999999999999" x14ac:dyDescent="0.3">
      <c r="A151" s="177" t="s">
        <v>193</v>
      </c>
      <c r="B151" s="177" t="s">
        <v>669</v>
      </c>
      <c r="C151" s="178">
        <v>114</v>
      </c>
      <c r="D151" s="179">
        <v>46264</v>
      </c>
      <c r="E151" s="177" t="s">
        <v>550</v>
      </c>
      <c r="F151" s="178">
        <v>8</v>
      </c>
      <c r="G151" s="180"/>
      <c r="H151" s="180"/>
    </row>
    <row r="152" spans="1:8" ht="20.399999999999999" x14ac:dyDescent="0.3">
      <c r="A152" s="177" t="s">
        <v>193</v>
      </c>
      <c r="B152" s="177" t="s">
        <v>669</v>
      </c>
      <c r="C152" s="178">
        <v>116</v>
      </c>
      <c r="D152" s="179">
        <v>46264</v>
      </c>
      <c r="E152" s="177" t="s">
        <v>550</v>
      </c>
      <c r="F152" s="178">
        <v>8</v>
      </c>
      <c r="G152" s="178">
        <v>65</v>
      </c>
      <c r="H152" s="180"/>
    </row>
    <row r="153" spans="1:8" ht="20.399999999999999" x14ac:dyDescent="0.3">
      <c r="A153" s="177" t="s">
        <v>87</v>
      </c>
      <c r="B153" s="177" t="s">
        <v>656</v>
      </c>
      <c r="C153" s="178">
        <v>210</v>
      </c>
      <c r="D153" s="179">
        <v>46264</v>
      </c>
      <c r="E153" s="177" t="s">
        <v>550</v>
      </c>
      <c r="F153" s="178">
        <v>6</v>
      </c>
      <c r="G153" s="178">
        <v>40</v>
      </c>
      <c r="H153" s="178">
        <v>36</v>
      </c>
    </row>
    <row r="154" spans="1:8" ht="20.399999999999999" x14ac:dyDescent="0.3">
      <c r="A154" s="177" t="s">
        <v>87</v>
      </c>
      <c r="B154" s="177" t="s">
        <v>656</v>
      </c>
      <c r="C154" s="178">
        <v>212</v>
      </c>
      <c r="D154" s="179">
        <v>46264</v>
      </c>
      <c r="E154" s="177" t="s">
        <v>550</v>
      </c>
      <c r="F154" s="178">
        <v>6</v>
      </c>
      <c r="G154" s="180"/>
      <c r="H154" s="178">
        <v>36</v>
      </c>
    </row>
    <row r="155" spans="1:8" ht="20.399999999999999" x14ac:dyDescent="0.3">
      <c r="A155" s="177" t="s">
        <v>129</v>
      </c>
      <c r="B155" s="177" t="s">
        <v>662</v>
      </c>
      <c r="C155" s="178">
        <v>302</v>
      </c>
      <c r="D155" s="179">
        <v>46264</v>
      </c>
      <c r="E155" s="177" t="s">
        <v>550</v>
      </c>
      <c r="F155" s="178">
        <v>3</v>
      </c>
      <c r="G155" s="180"/>
      <c r="H155" s="180"/>
    </row>
    <row r="156" spans="1:8" ht="20.399999999999999" x14ac:dyDescent="0.3">
      <c r="A156" s="177" t="s">
        <v>218</v>
      </c>
      <c r="B156" s="177" t="s">
        <v>662</v>
      </c>
      <c r="C156" s="178">
        <v>312</v>
      </c>
      <c r="D156" s="179">
        <v>46264</v>
      </c>
      <c r="E156" s="177" t="s">
        <v>550</v>
      </c>
      <c r="F156" s="178">
        <v>3</v>
      </c>
      <c r="G156" s="178">
        <v>28</v>
      </c>
      <c r="H156" s="180"/>
    </row>
    <row r="157" spans="1:8" x14ac:dyDescent="0.3">
      <c r="A157" s="177" t="s">
        <v>670</v>
      </c>
      <c r="B157" s="177" t="s">
        <v>671</v>
      </c>
      <c r="C157" s="178">
        <v>2</v>
      </c>
      <c r="D157" s="179">
        <v>46264</v>
      </c>
      <c r="E157" s="177" t="s">
        <v>559</v>
      </c>
      <c r="F157" s="178">
        <v>2</v>
      </c>
      <c r="G157" s="180"/>
      <c r="H157" s="180"/>
    </row>
    <row r="158" spans="1:8" ht="20.399999999999999" x14ac:dyDescent="0.3">
      <c r="A158" s="177" t="s">
        <v>672</v>
      </c>
      <c r="B158" s="177" t="s">
        <v>642</v>
      </c>
      <c r="C158" s="178">
        <v>6</v>
      </c>
      <c r="D158" s="179">
        <v>46264</v>
      </c>
      <c r="E158" s="177" t="s">
        <v>637</v>
      </c>
      <c r="F158" s="178">
        <v>78</v>
      </c>
      <c r="G158" s="178">
        <v>190</v>
      </c>
      <c r="H158" s="178">
        <v>4</v>
      </c>
    </row>
    <row r="159" spans="1:8" x14ac:dyDescent="0.3">
      <c r="A159" s="177" t="s">
        <v>673</v>
      </c>
      <c r="B159" s="177" t="s">
        <v>558</v>
      </c>
      <c r="C159" s="178">
        <v>26</v>
      </c>
      <c r="D159" s="179">
        <v>46264</v>
      </c>
      <c r="E159" s="177" t="s">
        <v>559</v>
      </c>
      <c r="F159" s="178">
        <v>10</v>
      </c>
      <c r="G159" s="180"/>
      <c r="H159" s="180"/>
    </row>
    <row r="160" spans="1:8" x14ac:dyDescent="0.3">
      <c r="A160" s="177" t="s">
        <v>670</v>
      </c>
      <c r="B160" s="177" t="s">
        <v>671</v>
      </c>
      <c r="C160" s="178">
        <v>6</v>
      </c>
      <c r="D160" s="179">
        <v>46264</v>
      </c>
      <c r="E160" s="177" t="s">
        <v>559</v>
      </c>
      <c r="F160" s="178">
        <v>10</v>
      </c>
      <c r="G160" s="180"/>
      <c r="H160" s="180"/>
    </row>
    <row r="161" spans="1:8" ht="20.399999999999999" x14ac:dyDescent="0.3">
      <c r="A161" s="177" t="s">
        <v>557</v>
      </c>
      <c r="B161" s="177" t="s">
        <v>558</v>
      </c>
      <c r="C161" s="178">
        <v>28</v>
      </c>
      <c r="D161" s="179">
        <v>46264</v>
      </c>
      <c r="E161" s="177" t="s">
        <v>559</v>
      </c>
      <c r="F161" s="178">
        <v>10</v>
      </c>
      <c r="G161" s="180"/>
      <c r="H161" s="180"/>
    </row>
    <row r="162" spans="1:8" x14ac:dyDescent="0.3">
      <c r="A162" s="177" t="s">
        <v>673</v>
      </c>
      <c r="B162" s="177" t="s">
        <v>558</v>
      </c>
      <c r="C162" s="178">
        <v>12</v>
      </c>
      <c r="D162" s="179">
        <v>46264</v>
      </c>
      <c r="E162" s="177" t="s">
        <v>559</v>
      </c>
      <c r="F162" s="178">
        <v>2</v>
      </c>
      <c r="G162" s="180"/>
      <c r="H162" s="180"/>
    </row>
    <row r="163" spans="1:8" x14ac:dyDescent="0.3">
      <c r="A163" s="177" t="s">
        <v>674</v>
      </c>
      <c r="B163" s="177" t="s">
        <v>552</v>
      </c>
      <c r="C163" s="178">
        <v>214</v>
      </c>
      <c r="D163" s="179">
        <v>46264</v>
      </c>
      <c r="E163" s="177" t="s">
        <v>550</v>
      </c>
      <c r="F163" s="178">
        <v>1</v>
      </c>
      <c r="G163" s="180"/>
      <c r="H163" s="180"/>
    </row>
    <row r="164" spans="1:8" ht="20.399999999999999" x14ac:dyDescent="0.3">
      <c r="A164" s="177" t="s">
        <v>31</v>
      </c>
      <c r="B164" s="177" t="s">
        <v>655</v>
      </c>
      <c r="C164" s="178">
        <v>18</v>
      </c>
      <c r="D164" s="179">
        <v>46265</v>
      </c>
      <c r="E164" s="177" t="s">
        <v>550</v>
      </c>
      <c r="F164" s="178">
        <v>1</v>
      </c>
      <c r="G164" s="178">
        <v>3</v>
      </c>
      <c r="H164" s="178">
        <v>0</v>
      </c>
    </row>
    <row r="165" spans="1:8" ht="20.399999999999999" x14ac:dyDescent="0.3">
      <c r="A165" s="177" t="s">
        <v>31</v>
      </c>
      <c r="B165" s="177" t="s">
        <v>675</v>
      </c>
      <c r="C165" s="178">
        <v>86</v>
      </c>
      <c r="D165" s="179">
        <v>46265</v>
      </c>
      <c r="E165" s="177" t="s">
        <v>550</v>
      </c>
      <c r="F165" s="178">
        <v>1</v>
      </c>
      <c r="G165" s="178">
        <v>6</v>
      </c>
      <c r="H165" s="178">
        <v>0</v>
      </c>
    </row>
    <row r="166" spans="1:8" ht="20.399999999999999" x14ac:dyDescent="0.3">
      <c r="A166" s="177" t="s">
        <v>161</v>
      </c>
      <c r="B166" s="177" t="s">
        <v>658</v>
      </c>
      <c r="C166" s="178">
        <v>70</v>
      </c>
      <c r="D166" s="179">
        <v>46266</v>
      </c>
      <c r="E166" s="177" t="s">
        <v>550</v>
      </c>
      <c r="F166" s="178">
        <v>32</v>
      </c>
      <c r="G166" s="178">
        <v>256</v>
      </c>
      <c r="H166" s="180"/>
    </row>
    <row r="167" spans="1:8" ht="20.399999999999999" x14ac:dyDescent="0.3">
      <c r="A167" s="177" t="s">
        <v>82</v>
      </c>
      <c r="B167" s="177" t="s">
        <v>653</v>
      </c>
      <c r="C167" s="178">
        <v>74</v>
      </c>
      <c r="D167" s="179">
        <v>46266</v>
      </c>
      <c r="E167" s="177" t="s">
        <v>550</v>
      </c>
      <c r="F167" s="178">
        <v>30</v>
      </c>
      <c r="G167" s="180"/>
      <c r="H167" s="180"/>
    </row>
    <row r="168" spans="1:8" ht="20.399999999999999" x14ac:dyDescent="0.3">
      <c r="A168" s="177" t="s">
        <v>676</v>
      </c>
      <c r="B168" s="177" t="s">
        <v>677</v>
      </c>
      <c r="C168" s="178">
        <v>2</v>
      </c>
      <c r="D168" s="179">
        <v>46266</v>
      </c>
      <c r="E168" s="177" t="s">
        <v>601</v>
      </c>
      <c r="F168" s="178">
        <v>1</v>
      </c>
      <c r="G168" s="178">
        <v>3</v>
      </c>
      <c r="H168" s="180"/>
    </row>
    <row r="169" spans="1:8" ht="20.399999999999999" x14ac:dyDescent="0.3">
      <c r="A169" s="177" t="s">
        <v>678</v>
      </c>
      <c r="B169" s="177" t="s">
        <v>677</v>
      </c>
      <c r="C169" s="178">
        <v>4</v>
      </c>
      <c r="D169" s="179">
        <v>46266</v>
      </c>
      <c r="E169" s="177" t="s">
        <v>601</v>
      </c>
      <c r="F169" s="178">
        <v>1</v>
      </c>
      <c r="G169" s="178">
        <v>1</v>
      </c>
      <c r="H169" s="180"/>
    </row>
    <row r="170" spans="1:8" ht="20.399999999999999" x14ac:dyDescent="0.3">
      <c r="A170" s="177" t="s">
        <v>679</v>
      </c>
      <c r="B170" s="177" t="s">
        <v>677</v>
      </c>
      <c r="C170" s="178">
        <v>6</v>
      </c>
      <c r="D170" s="179">
        <v>46266</v>
      </c>
      <c r="E170" s="177" t="s">
        <v>601</v>
      </c>
      <c r="F170" s="178">
        <v>1</v>
      </c>
      <c r="G170" s="178">
        <v>1</v>
      </c>
      <c r="H170" s="180"/>
    </row>
    <row r="171" spans="1:8" ht="20.399999999999999" x14ac:dyDescent="0.3">
      <c r="A171" s="177" t="s">
        <v>680</v>
      </c>
      <c r="B171" s="177" t="s">
        <v>653</v>
      </c>
      <c r="C171" s="178">
        <v>14</v>
      </c>
      <c r="D171" s="179">
        <v>46268</v>
      </c>
      <c r="E171" s="177" t="s">
        <v>550</v>
      </c>
      <c r="F171" s="178">
        <v>23</v>
      </c>
      <c r="G171" s="180"/>
      <c r="H171" s="180"/>
    </row>
    <row r="172" spans="1:8" ht="20.399999999999999" x14ac:dyDescent="0.3">
      <c r="A172" s="177" t="s">
        <v>681</v>
      </c>
      <c r="B172" s="177" t="s">
        <v>682</v>
      </c>
      <c r="C172" s="178">
        <v>14</v>
      </c>
      <c r="D172" s="179">
        <v>46268</v>
      </c>
      <c r="E172" s="177" t="s">
        <v>550</v>
      </c>
      <c r="F172" s="178">
        <v>3</v>
      </c>
      <c r="G172" s="180"/>
      <c r="H172" s="180"/>
    </row>
    <row r="173" spans="1:8" ht="20.399999999999999" x14ac:dyDescent="0.3">
      <c r="A173" s="177" t="s">
        <v>40</v>
      </c>
      <c r="B173" s="177" t="s">
        <v>649</v>
      </c>
      <c r="C173" s="178">
        <v>258</v>
      </c>
      <c r="D173" s="179">
        <v>46269</v>
      </c>
      <c r="E173" s="177" t="s">
        <v>550</v>
      </c>
      <c r="F173" s="178">
        <v>1</v>
      </c>
      <c r="G173" s="178">
        <v>19</v>
      </c>
      <c r="H173" s="180"/>
    </row>
    <row r="174" spans="1:8" ht="20.399999999999999" x14ac:dyDescent="0.3">
      <c r="A174" s="177" t="s">
        <v>683</v>
      </c>
      <c r="B174" s="177" t="s">
        <v>649</v>
      </c>
      <c r="C174" s="178">
        <v>310</v>
      </c>
      <c r="D174" s="179">
        <v>46270</v>
      </c>
      <c r="E174" s="177" t="s">
        <v>550</v>
      </c>
      <c r="F174" s="178">
        <v>1</v>
      </c>
      <c r="G174" s="178">
        <v>14</v>
      </c>
      <c r="H174" s="180"/>
    </row>
    <row r="175" spans="1:8" ht="20.399999999999999" x14ac:dyDescent="0.3">
      <c r="A175" s="177" t="s">
        <v>683</v>
      </c>
      <c r="B175" s="177" t="s">
        <v>661</v>
      </c>
      <c r="C175" s="178">
        <v>254</v>
      </c>
      <c r="D175" s="179">
        <v>46270</v>
      </c>
      <c r="E175" s="177" t="s">
        <v>550</v>
      </c>
      <c r="F175" s="178">
        <v>5</v>
      </c>
      <c r="G175" s="180"/>
      <c r="H175" s="180"/>
    </row>
    <row r="176" spans="1:8" ht="20.399999999999999" x14ac:dyDescent="0.3">
      <c r="A176" s="177" t="s">
        <v>28</v>
      </c>
      <c r="B176" s="177" t="s">
        <v>661</v>
      </c>
      <c r="C176" s="178">
        <v>342</v>
      </c>
      <c r="D176" s="179">
        <v>46271</v>
      </c>
      <c r="E176" s="177" t="s">
        <v>550</v>
      </c>
      <c r="F176" s="178">
        <v>10</v>
      </c>
      <c r="G176" s="178">
        <v>19</v>
      </c>
      <c r="H176" s="180"/>
    </row>
    <row r="177" spans="1:8" ht="20.399999999999999" x14ac:dyDescent="0.3">
      <c r="A177" s="177" t="s">
        <v>684</v>
      </c>
      <c r="B177" s="177" t="s">
        <v>661</v>
      </c>
      <c r="C177" s="178">
        <v>62</v>
      </c>
      <c r="D177" s="179">
        <v>46271</v>
      </c>
      <c r="E177" s="177" t="s">
        <v>550</v>
      </c>
      <c r="F177" s="178">
        <v>1</v>
      </c>
      <c r="G177" s="178">
        <v>8</v>
      </c>
      <c r="H177" s="180"/>
    </row>
    <row r="178" spans="1:8" ht="20.399999999999999" x14ac:dyDescent="0.3">
      <c r="A178" s="177" t="s">
        <v>684</v>
      </c>
      <c r="B178" s="177" t="s">
        <v>661</v>
      </c>
      <c r="C178" s="178">
        <v>64</v>
      </c>
      <c r="D178" s="179">
        <v>46271</v>
      </c>
      <c r="E178" s="177" t="s">
        <v>550</v>
      </c>
      <c r="F178" s="178">
        <v>8</v>
      </c>
      <c r="G178" s="178">
        <v>10</v>
      </c>
      <c r="H178" s="180"/>
    </row>
    <row r="179" spans="1:8" ht="20.399999999999999" x14ac:dyDescent="0.3">
      <c r="A179" s="177" t="s">
        <v>684</v>
      </c>
      <c r="B179" s="177" t="s">
        <v>661</v>
      </c>
      <c r="C179" s="178">
        <v>66</v>
      </c>
      <c r="D179" s="179">
        <v>46271</v>
      </c>
      <c r="E179" s="177" t="s">
        <v>550</v>
      </c>
      <c r="F179" s="178">
        <v>6</v>
      </c>
      <c r="G179" s="178">
        <v>11</v>
      </c>
      <c r="H179" s="180"/>
    </row>
    <row r="180" spans="1:8" ht="20.399999999999999" x14ac:dyDescent="0.3">
      <c r="A180" s="177" t="s">
        <v>67</v>
      </c>
      <c r="B180" s="177" t="s">
        <v>631</v>
      </c>
      <c r="C180" s="178">
        <v>20</v>
      </c>
      <c r="D180" s="179">
        <v>46271</v>
      </c>
      <c r="E180" s="177" t="s">
        <v>550</v>
      </c>
      <c r="F180" s="178">
        <v>10</v>
      </c>
      <c r="G180" s="178">
        <v>11</v>
      </c>
      <c r="H180" s="180"/>
    </row>
    <row r="181" spans="1:8" ht="20.399999999999999" x14ac:dyDescent="0.3">
      <c r="A181" s="177" t="s">
        <v>101</v>
      </c>
      <c r="B181" s="177" t="s">
        <v>685</v>
      </c>
      <c r="C181" s="178">
        <v>136</v>
      </c>
      <c r="D181" s="179">
        <v>46271</v>
      </c>
      <c r="E181" s="177" t="s">
        <v>550</v>
      </c>
      <c r="F181" s="178">
        <v>4</v>
      </c>
      <c r="G181" s="178">
        <v>17</v>
      </c>
      <c r="H181" s="180"/>
    </row>
    <row r="182" spans="1:8" ht="20.399999999999999" x14ac:dyDescent="0.3">
      <c r="A182" s="177" t="s">
        <v>684</v>
      </c>
      <c r="B182" s="177" t="s">
        <v>649</v>
      </c>
      <c r="C182" s="178">
        <v>348</v>
      </c>
      <c r="D182" s="179">
        <v>46271</v>
      </c>
      <c r="E182" s="177" t="s">
        <v>550</v>
      </c>
      <c r="F182" s="178">
        <v>2</v>
      </c>
      <c r="G182" s="178">
        <v>11</v>
      </c>
      <c r="H182" s="180"/>
    </row>
    <row r="183" spans="1:8" ht="20.399999999999999" x14ac:dyDescent="0.3">
      <c r="A183" s="177" t="s">
        <v>28</v>
      </c>
      <c r="B183" s="177" t="s">
        <v>649</v>
      </c>
      <c r="C183" s="178">
        <v>128</v>
      </c>
      <c r="D183" s="179">
        <v>46271</v>
      </c>
      <c r="E183" s="177" t="s">
        <v>550</v>
      </c>
      <c r="F183" s="178">
        <v>18</v>
      </c>
      <c r="G183" s="180"/>
      <c r="H183" s="180"/>
    </row>
    <row r="184" spans="1:8" ht="20.399999999999999" x14ac:dyDescent="0.3">
      <c r="A184" s="177" t="s">
        <v>67</v>
      </c>
      <c r="B184" s="177" t="s">
        <v>662</v>
      </c>
      <c r="C184" s="178">
        <v>408</v>
      </c>
      <c r="D184" s="179">
        <v>46271</v>
      </c>
      <c r="E184" s="177" t="s">
        <v>550</v>
      </c>
      <c r="F184" s="178">
        <v>5</v>
      </c>
      <c r="G184" s="180"/>
      <c r="H184" s="180"/>
    </row>
    <row r="185" spans="1:8" ht="20.399999999999999" x14ac:dyDescent="0.3">
      <c r="A185" s="177" t="s">
        <v>170</v>
      </c>
      <c r="B185" s="177" t="s">
        <v>653</v>
      </c>
      <c r="C185" s="178">
        <v>50</v>
      </c>
      <c r="D185" s="179">
        <v>46271</v>
      </c>
      <c r="E185" s="177" t="s">
        <v>550</v>
      </c>
      <c r="F185" s="178">
        <v>8</v>
      </c>
      <c r="G185" s="180"/>
      <c r="H185" s="178">
        <v>0</v>
      </c>
    </row>
    <row r="186" spans="1:8" ht="20.399999999999999" x14ac:dyDescent="0.3">
      <c r="A186" s="177" t="s">
        <v>101</v>
      </c>
      <c r="B186" s="177" t="s">
        <v>686</v>
      </c>
      <c r="C186" s="178">
        <v>192</v>
      </c>
      <c r="D186" s="179">
        <v>46271</v>
      </c>
      <c r="E186" s="177" t="s">
        <v>550</v>
      </c>
      <c r="F186" s="178">
        <v>3</v>
      </c>
      <c r="G186" s="180"/>
      <c r="H186" s="180"/>
    </row>
    <row r="187" spans="1:8" ht="20.399999999999999" x14ac:dyDescent="0.3">
      <c r="A187" s="177" t="s">
        <v>684</v>
      </c>
      <c r="B187" s="177" t="s">
        <v>686</v>
      </c>
      <c r="C187" s="178">
        <v>196</v>
      </c>
      <c r="D187" s="179">
        <v>46271</v>
      </c>
      <c r="E187" s="177" t="s">
        <v>550</v>
      </c>
      <c r="F187" s="178">
        <v>1</v>
      </c>
      <c r="G187" s="180"/>
      <c r="H187" s="180"/>
    </row>
    <row r="188" spans="1:8" ht="20.399999999999999" x14ac:dyDescent="0.3">
      <c r="A188" s="177" t="s">
        <v>71</v>
      </c>
      <c r="B188" s="177" t="s">
        <v>686</v>
      </c>
      <c r="C188" s="178">
        <v>130</v>
      </c>
      <c r="D188" s="179">
        <v>46271</v>
      </c>
      <c r="E188" s="177" t="s">
        <v>550</v>
      </c>
      <c r="F188" s="178">
        <v>12</v>
      </c>
      <c r="G188" s="180"/>
      <c r="H188" s="180"/>
    </row>
    <row r="189" spans="1:8" ht="20.399999999999999" x14ac:dyDescent="0.3">
      <c r="A189" s="177" t="s">
        <v>101</v>
      </c>
      <c r="B189" s="177" t="s">
        <v>686</v>
      </c>
      <c r="C189" s="178">
        <v>138</v>
      </c>
      <c r="D189" s="179">
        <v>46271</v>
      </c>
      <c r="E189" s="177" t="s">
        <v>550</v>
      </c>
      <c r="F189" s="178">
        <v>12</v>
      </c>
      <c r="G189" s="180"/>
      <c r="H189" s="180"/>
    </row>
    <row r="190" spans="1:8" x14ac:dyDescent="0.3">
      <c r="A190" s="177" t="s">
        <v>478</v>
      </c>
      <c r="B190" s="177" t="s">
        <v>650</v>
      </c>
      <c r="C190" s="178">
        <v>38</v>
      </c>
      <c r="D190" s="179">
        <v>46272</v>
      </c>
      <c r="E190" s="177" t="s">
        <v>550</v>
      </c>
      <c r="F190" s="178">
        <v>10</v>
      </c>
      <c r="G190" s="180"/>
      <c r="H190" s="178">
        <v>0</v>
      </c>
    </row>
    <row r="191" spans="1:8" x14ac:dyDescent="0.3">
      <c r="A191" s="177" t="s">
        <v>478</v>
      </c>
      <c r="B191" s="177" t="s">
        <v>650</v>
      </c>
      <c r="C191" s="178">
        <v>40</v>
      </c>
      <c r="D191" s="179">
        <v>46272</v>
      </c>
      <c r="E191" s="177" t="s">
        <v>550</v>
      </c>
      <c r="F191" s="178">
        <v>8</v>
      </c>
      <c r="G191" s="180"/>
      <c r="H191" s="178">
        <v>0</v>
      </c>
    </row>
    <row r="192" spans="1:8" ht="20.399999999999999" x14ac:dyDescent="0.3">
      <c r="A192" s="177" t="s">
        <v>475</v>
      </c>
      <c r="B192" s="177" t="s">
        <v>582</v>
      </c>
      <c r="C192" s="178">
        <v>130</v>
      </c>
      <c r="D192" s="179">
        <v>46272</v>
      </c>
      <c r="E192" s="177" t="s">
        <v>550</v>
      </c>
      <c r="F192" s="178">
        <v>8</v>
      </c>
      <c r="G192" s="178">
        <v>54</v>
      </c>
      <c r="H192" s="180"/>
    </row>
    <row r="193" spans="1:8" ht="20.399999999999999" x14ac:dyDescent="0.3">
      <c r="A193" s="177" t="s">
        <v>687</v>
      </c>
      <c r="B193" s="177" t="s">
        <v>688</v>
      </c>
      <c r="C193" s="178">
        <v>42</v>
      </c>
      <c r="D193" s="179">
        <v>46272</v>
      </c>
      <c r="E193" s="177" t="s">
        <v>550</v>
      </c>
      <c r="F193" s="178">
        <v>10</v>
      </c>
      <c r="G193" s="180"/>
      <c r="H193" s="180"/>
    </row>
    <row r="194" spans="1:8" ht="20.399999999999999" x14ac:dyDescent="0.3">
      <c r="A194" s="177" t="s">
        <v>687</v>
      </c>
      <c r="B194" s="177" t="s">
        <v>685</v>
      </c>
      <c r="C194" s="178">
        <v>332</v>
      </c>
      <c r="D194" s="179">
        <v>46272</v>
      </c>
      <c r="E194" s="177" t="s">
        <v>550</v>
      </c>
      <c r="F194" s="178">
        <v>20</v>
      </c>
      <c r="G194" s="178">
        <v>15</v>
      </c>
      <c r="H194" s="180"/>
    </row>
    <row r="195" spans="1:8" x14ac:dyDescent="0.3">
      <c r="A195" s="177" t="s">
        <v>689</v>
      </c>
      <c r="B195" s="177" t="s">
        <v>603</v>
      </c>
      <c r="C195" s="178">
        <v>300</v>
      </c>
      <c r="D195" s="179">
        <v>46272</v>
      </c>
      <c r="E195" s="177" t="s">
        <v>550</v>
      </c>
      <c r="F195" s="178">
        <v>1</v>
      </c>
      <c r="G195" s="178">
        <v>35</v>
      </c>
      <c r="H195" s="180"/>
    </row>
    <row r="196" spans="1:8" x14ac:dyDescent="0.3">
      <c r="A196" s="177" t="s">
        <v>689</v>
      </c>
      <c r="B196" s="177" t="s">
        <v>614</v>
      </c>
      <c r="C196" s="178">
        <v>194</v>
      </c>
      <c r="D196" s="179">
        <v>46272</v>
      </c>
      <c r="E196" s="177" t="s">
        <v>550</v>
      </c>
      <c r="F196" s="178">
        <v>5</v>
      </c>
      <c r="G196" s="180"/>
      <c r="H196" s="180"/>
    </row>
    <row r="197" spans="1:8" x14ac:dyDescent="0.3">
      <c r="A197" s="177" t="s">
        <v>689</v>
      </c>
      <c r="B197" s="177" t="s">
        <v>614</v>
      </c>
      <c r="C197" s="178">
        <v>196</v>
      </c>
      <c r="D197" s="179">
        <v>46272</v>
      </c>
      <c r="E197" s="177" t="s">
        <v>550</v>
      </c>
      <c r="F197" s="178">
        <v>8</v>
      </c>
      <c r="G197" s="180"/>
      <c r="H197" s="180"/>
    </row>
    <row r="198" spans="1:8" x14ac:dyDescent="0.3">
      <c r="A198" s="177" t="s">
        <v>689</v>
      </c>
      <c r="B198" s="177" t="s">
        <v>614</v>
      </c>
      <c r="C198" s="178">
        <v>198</v>
      </c>
      <c r="D198" s="179">
        <v>46272</v>
      </c>
      <c r="E198" s="177" t="s">
        <v>550</v>
      </c>
      <c r="F198" s="178">
        <v>5</v>
      </c>
      <c r="G198" s="180"/>
      <c r="H198" s="180"/>
    </row>
    <row r="199" spans="1:8" ht="20.399999999999999" x14ac:dyDescent="0.3">
      <c r="A199" s="177" t="s">
        <v>146</v>
      </c>
      <c r="B199" s="177" t="s">
        <v>651</v>
      </c>
      <c r="C199" s="178">
        <v>38</v>
      </c>
      <c r="D199" s="179">
        <v>46273</v>
      </c>
      <c r="E199" s="177" t="s">
        <v>550</v>
      </c>
      <c r="F199" s="178">
        <v>1</v>
      </c>
      <c r="G199" s="180"/>
      <c r="H199" s="180"/>
    </row>
    <row r="200" spans="1:8" x14ac:dyDescent="0.3">
      <c r="A200" s="177" t="s">
        <v>439</v>
      </c>
      <c r="B200" s="177" t="s">
        <v>630</v>
      </c>
      <c r="C200" s="178">
        <v>138</v>
      </c>
      <c r="D200" s="179">
        <v>46273</v>
      </c>
      <c r="E200" s="177" t="s">
        <v>550</v>
      </c>
      <c r="F200" s="178">
        <v>1</v>
      </c>
      <c r="G200" s="178">
        <v>40</v>
      </c>
      <c r="H200" s="178">
        <v>0</v>
      </c>
    </row>
    <row r="201" spans="1:8" ht="20.399999999999999" x14ac:dyDescent="0.3">
      <c r="A201" s="177" t="s">
        <v>146</v>
      </c>
      <c r="B201" s="177" t="s">
        <v>685</v>
      </c>
      <c r="C201" s="178">
        <v>404</v>
      </c>
      <c r="D201" s="179">
        <v>46273</v>
      </c>
      <c r="E201" s="177" t="s">
        <v>550</v>
      </c>
      <c r="F201" s="178">
        <v>3</v>
      </c>
      <c r="G201" s="178">
        <v>33</v>
      </c>
      <c r="H201" s="180"/>
    </row>
    <row r="202" spans="1:8" x14ac:dyDescent="0.3">
      <c r="A202" s="177" t="s">
        <v>439</v>
      </c>
      <c r="B202" s="177" t="s">
        <v>650</v>
      </c>
      <c r="C202" s="178">
        <v>92</v>
      </c>
      <c r="D202" s="179">
        <v>46273</v>
      </c>
      <c r="E202" s="177" t="s">
        <v>550</v>
      </c>
      <c r="F202" s="178">
        <v>6</v>
      </c>
      <c r="G202" s="178">
        <v>35</v>
      </c>
      <c r="H202" s="178">
        <v>0</v>
      </c>
    </row>
    <row r="203" spans="1:8" x14ac:dyDescent="0.3">
      <c r="A203" s="177" t="s">
        <v>439</v>
      </c>
      <c r="B203" s="177" t="s">
        <v>650</v>
      </c>
      <c r="C203" s="178">
        <v>48</v>
      </c>
      <c r="D203" s="179">
        <v>46273</v>
      </c>
      <c r="E203" s="177" t="s">
        <v>550</v>
      </c>
      <c r="F203" s="178">
        <v>12</v>
      </c>
      <c r="G203" s="180"/>
      <c r="H203" s="178">
        <v>0</v>
      </c>
    </row>
    <row r="204" spans="1:8" ht="20.399999999999999" x14ac:dyDescent="0.3">
      <c r="A204" s="177" t="s">
        <v>71</v>
      </c>
      <c r="B204" s="177" t="s">
        <v>686</v>
      </c>
      <c r="C204" s="178">
        <v>128</v>
      </c>
      <c r="D204" s="179">
        <v>46275</v>
      </c>
      <c r="E204" s="177" t="s">
        <v>550</v>
      </c>
      <c r="F204" s="178">
        <v>5</v>
      </c>
      <c r="G204" s="180"/>
      <c r="H204" s="180"/>
    </row>
    <row r="205" spans="1:8" ht="20.399999999999999" x14ac:dyDescent="0.3">
      <c r="A205" s="177" t="s">
        <v>54</v>
      </c>
      <c r="B205" s="177" t="s">
        <v>653</v>
      </c>
      <c r="C205" s="178">
        <v>10</v>
      </c>
      <c r="D205" s="179">
        <v>46275</v>
      </c>
      <c r="E205" s="177" t="s">
        <v>550</v>
      </c>
      <c r="F205" s="178">
        <v>4</v>
      </c>
      <c r="G205" s="180"/>
      <c r="H205" s="180"/>
    </row>
    <row r="206" spans="1:8" ht="20.399999999999999" x14ac:dyDescent="0.3">
      <c r="A206" s="177" t="s">
        <v>37</v>
      </c>
      <c r="B206" s="177" t="s">
        <v>690</v>
      </c>
      <c r="C206" s="178">
        <v>8</v>
      </c>
      <c r="D206" s="179">
        <v>46275</v>
      </c>
      <c r="E206" s="177" t="s">
        <v>550</v>
      </c>
      <c r="F206" s="178">
        <v>3</v>
      </c>
      <c r="G206" s="178">
        <v>29</v>
      </c>
      <c r="H206" s="180"/>
    </row>
    <row r="207" spans="1:8" ht="20.399999999999999" x14ac:dyDescent="0.3">
      <c r="A207" s="177" t="s">
        <v>71</v>
      </c>
      <c r="B207" s="177" t="s">
        <v>685</v>
      </c>
      <c r="C207" s="178">
        <v>168</v>
      </c>
      <c r="D207" s="179">
        <v>46275</v>
      </c>
      <c r="E207" s="177" t="s">
        <v>550</v>
      </c>
      <c r="F207" s="178">
        <v>6</v>
      </c>
      <c r="G207" s="178">
        <v>40</v>
      </c>
      <c r="H207" s="180"/>
    </row>
    <row r="208" spans="1:8" x14ac:dyDescent="0.3">
      <c r="A208" s="177" t="s">
        <v>691</v>
      </c>
      <c r="B208" s="177" t="s">
        <v>667</v>
      </c>
      <c r="C208" s="178">
        <v>20</v>
      </c>
      <c r="D208" s="179">
        <v>46275</v>
      </c>
      <c r="E208" s="177" t="s">
        <v>550</v>
      </c>
      <c r="F208" s="178">
        <v>8</v>
      </c>
      <c r="G208" s="178">
        <v>13</v>
      </c>
      <c r="H208" s="180"/>
    </row>
    <row r="209" spans="1:8" ht="20.399999999999999" x14ac:dyDescent="0.3">
      <c r="A209" s="177" t="s">
        <v>54</v>
      </c>
      <c r="B209" s="177" t="s">
        <v>692</v>
      </c>
      <c r="C209" s="178">
        <v>30</v>
      </c>
      <c r="D209" s="179">
        <v>46275</v>
      </c>
      <c r="E209" s="177" t="s">
        <v>550</v>
      </c>
      <c r="F209" s="178">
        <v>1</v>
      </c>
      <c r="G209" s="178">
        <v>27</v>
      </c>
      <c r="H209" s="180"/>
    </row>
    <row r="210" spans="1:8" ht="20.399999999999999" x14ac:dyDescent="0.3">
      <c r="A210" s="177" t="s">
        <v>71</v>
      </c>
      <c r="B210" s="177" t="s">
        <v>651</v>
      </c>
      <c r="C210" s="178">
        <v>62</v>
      </c>
      <c r="D210" s="179">
        <v>46275</v>
      </c>
      <c r="E210" s="177" t="s">
        <v>550</v>
      </c>
      <c r="F210" s="178">
        <v>1</v>
      </c>
      <c r="G210" s="178">
        <v>39</v>
      </c>
      <c r="H210" s="180"/>
    </row>
    <row r="211" spans="1:8" x14ac:dyDescent="0.3">
      <c r="A211" s="177" t="s">
        <v>693</v>
      </c>
      <c r="B211" s="177" t="s">
        <v>614</v>
      </c>
      <c r="C211" s="178">
        <v>200</v>
      </c>
      <c r="D211" s="179">
        <v>46275</v>
      </c>
      <c r="E211" s="177" t="s">
        <v>550</v>
      </c>
      <c r="F211" s="178">
        <v>1</v>
      </c>
      <c r="G211" s="180"/>
      <c r="H211" s="180"/>
    </row>
    <row r="212" spans="1:8" x14ac:dyDescent="0.3">
      <c r="A212" s="177" t="s">
        <v>693</v>
      </c>
      <c r="B212" s="177" t="s">
        <v>614</v>
      </c>
      <c r="C212" s="178">
        <v>202</v>
      </c>
      <c r="D212" s="179">
        <v>46275</v>
      </c>
      <c r="E212" s="177" t="s">
        <v>550</v>
      </c>
      <c r="F212" s="178">
        <v>9</v>
      </c>
      <c r="G212" s="180"/>
      <c r="H212" s="180"/>
    </row>
    <row r="213" spans="1:8" ht="20.399999999999999" x14ac:dyDescent="0.3">
      <c r="A213" s="177" t="s">
        <v>200</v>
      </c>
      <c r="B213" s="177" t="s">
        <v>634</v>
      </c>
      <c r="C213" s="178">
        <v>76</v>
      </c>
      <c r="D213" s="179">
        <v>46275</v>
      </c>
      <c r="E213" s="177" t="s">
        <v>550</v>
      </c>
      <c r="F213" s="178">
        <v>6</v>
      </c>
      <c r="G213" s="178">
        <v>27</v>
      </c>
      <c r="H213" s="180"/>
    </row>
    <row r="214" spans="1:8" ht="20.399999999999999" x14ac:dyDescent="0.3">
      <c r="A214" s="177" t="s">
        <v>54</v>
      </c>
      <c r="B214" s="177" t="s">
        <v>662</v>
      </c>
      <c r="C214" s="178">
        <v>346</v>
      </c>
      <c r="D214" s="179">
        <v>46275</v>
      </c>
      <c r="E214" s="177" t="s">
        <v>550</v>
      </c>
      <c r="F214" s="178">
        <v>6</v>
      </c>
      <c r="G214" s="180"/>
      <c r="H214" s="180"/>
    </row>
    <row r="215" spans="1:8" ht="20.399999999999999" x14ac:dyDescent="0.3">
      <c r="A215" s="177" t="s">
        <v>54</v>
      </c>
      <c r="B215" s="177" t="s">
        <v>662</v>
      </c>
      <c r="C215" s="178">
        <v>14</v>
      </c>
      <c r="D215" s="179">
        <v>46275</v>
      </c>
      <c r="E215" s="177" t="s">
        <v>550</v>
      </c>
      <c r="F215" s="178">
        <v>1</v>
      </c>
      <c r="G215" s="180"/>
      <c r="H215" s="180"/>
    </row>
    <row r="216" spans="1:8" ht="20.399999999999999" x14ac:dyDescent="0.3">
      <c r="A216" s="177" t="s">
        <v>54</v>
      </c>
      <c r="B216" s="177" t="s">
        <v>662</v>
      </c>
      <c r="C216" s="178">
        <v>142</v>
      </c>
      <c r="D216" s="179">
        <v>46275</v>
      </c>
      <c r="E216" s="177" t="s">
        <v>550</v>
      </c>
      <c r="F216" s="178">
        <v>12</v>
      </c>
      <c r="G216" s="180"/>
      <c r="H216" s="180"/>
    </row>
    <row r="217" spans="1:8" ht="20.399999999999999" x14ac:dyDescent="0.3">
      <c r="A217" s="177" t="s">
        <v>694</v>
      </c>
      <c r="B217" s="177" t="s">
        <v>614</v>
      </c>
      <c r="C217" s="178">
        <v>24</v>
      </c>
      <c r="D217" s="179">
        <v>46280</v>
      </c>
      <c r="E217" s="177" t="s">
        <v>550</v>
      </c>
      <c r="F217" s="178">
        <v>1</v>
      </c>
      <c r="G217" s="180"/>
      <c r="H217" s="180"/>
    </row>
    <row r="218" spans="1:8" ht="20.399999999999999" x14ac:dyDescent="0.3">
      <c r="A218" s="177" t="s">
        <v>694</v>
      </c>
      <c r="B218" s="177" t="s">
        <v>614</v>
      </c>
      <c r="C218" s="178">
        <v>26</v>
      </c>
      <c r="D218" s="179">
        <v>46280</v>
      </c>
      <c r="E218" s="177" t="s">
        <v>550</v>
      </c>
      <c r="F218" s="178">
        <v>7</v>
      </c>
      <c r="G218" s="180"/>
      <c r="H218" s="180"/>
    </row>
    <row r="219" spans="1:8" ht="20.399999999999999" x14ac:dyDescent="0.3">
      <c r="A219" s="177" t="s">
        <v>694</v>
      </c>
      <c r="B219" s="177" t="s">
        <v>614</v>
      </c>
      <c r="C219" s="178">
        <v>28</v>
      </c>
      <c r="D219" s="179">
        <v>46280</v>
      </c>
      <c r="E219" s="177" t="s">
        <v>550</v>
      </c>
      <c r="F219" s="178">
        <v>5</v>
      </c>
      <c r="G219" s="180"/>
      <c r="H219" s="180"/>
    </row>
    <row r="220" spans="1:8" ht="20.399999999999999" x14ac:dyDescent="0.3">
      <c r="A220" s="177" t="s">
        <v>170</v>
      </c>
      <c r="B220" s="177" t="s">
        <v>695</v>
      </c>
      <c r="C220" s="178">
        <v>40</v>
      </c>
      <c r="D220" s="179">
        <v>46280</v>
      </c>
      <c r="E220" s="177" t="s">
        <v>550</v>
      </c>
      <c r="F220" s="178">
        <v>24</v>
      </c>
      <c r="G220" s="180"/>
      <c r="H220" s="178">
        <v>0</v>
      </c>
    </row>
    <row r="221" spans="1:8" ht="20.399999999999999" x14ac:dyDescent="0.3">
      <c r="A221" s="177" t="s">
        <v>38</v>
      </c>
      <c r="B221" s="177" t="s">
        <v>696</v>
      </c>
      <c r="C221" s="178">
        <v>32</v>
      </c>
      <c r="D221" s="179">
        <v>46280</v>
      </c>
      <c r="E221" s="177" t="s">
        <v>550</v>
      </c>
      <c r="F221" s="178">
        <v>1</v>
      </c>
      <c r="G221" s="178">
        <v>5</v>
      </c>
      <c r="H221" s="180"/>
    </row>
    <row r="222" spans="1:8" ht="20.399999999999999" x14ac:dyDescent="0.3">
      <c r="A222" s="177" t="s">
        <v>121</v>
      </c>
      <c r="B222" s="177" t="s">
        <v>661</v>
      </c>
      <c r="C222" s="178">
        <v>266</v>
      </c>
      <c r="D222" s="179">
        <v>46280</v>
      </c>
      <c r="E222" s="177" t="s">
        <v>550</v>
      </c>
      <c r="F222" s="178">
        <v>4</v>
      </c>
      <c r="G222" s="178">
        <v>9</v>
      </c>
      <c r="H222" s="180"/>
    </row>
    <row r="223" spans="1:8" ht="20.399999999999999" x14ac:dyDescent="0.3">
      <c r="A223" s="177" t="s">
        <v>38</v>
      </c>
      <c r="B223" s="177" t="s">
        <v>661</v>
      </c>
      <c r="C223" s="178">
        <v>318</v>
      </c>
      <c r="D223" s="179">
        <v>46280</v>
      </c>
      <c r="E223" s="177" t="s">
        <v>550</v>
      </c>
      <c r="F223" s="178">
        <v>12</v>
      </c>
      <c r="G223" s="180"/>
      <c r="H223" s="180"/>
    </row>
    <row r="224" spans="1:8" ht="20.399999999999999" x14ac:dyDescent="0.3">
      <c r="A224" s="177" t="s">
        <v>33</v>
      </c>
      <c r="B224" s="177" t="s">
        <v>649</v>
      </c>
      <c r="C224" s="178">
        <v>248</v>
      </c>
      <c r="D224" s="179">
        <v>46280</v>
      </c>
      <c r="E224" s="177" t="s">
        <v>550</v>
      </c>
      <c r="F224" s="178">
        <v>2</v>
      </c>
      <c r="G224" s="180"/>
      <c r="H224" s="178">
        <v>0</v>
      </c>
    </row>
    <row r="225" spans="1:8" ht="20.399999999999999" x14ac:dyDescent="0.3">
      <c r="A225" s="177" t="s">
        <v>38</v>
      </c>
      <c r="B225" s="177" t="s">
        <v>649</v>
      </c>
      <c r="C225" s="178">
        <v>208</v>
      </c>
      <c r="D225" s="179">
        <v>46280</v>
      </c>
      <c r="E225" s="177" t="s">
        <v>550</v>
      </c>
      <c r="F225" s="178">
        <v>14</v>
      </c>
      <c r="G225" s="178">
        <v>12</v>
      </c>
      <c r="H225" s="180"/>
    </row>
    <row r="226" spans="1:8" ht="20.399999999999999" x14ac:dyDescent="0.3">
      <c r="A226" s="177" t="s">
        <v>471</v>
      </c>
      <c r="B226" s="177" t="s">
        <v>632</v>
      </c>
      <c r="C226" s="178">
        <v>14</v>
      </c>
      <c r="D226" s="179">
        <v>46280</v>
      </c>
      <c r="E226" s="177" t="s">
        <v>550</v>
      </c>
      <c r="F226" s="178">
        <v>13</v>
      </c>
      <c r="G226" s="178">
        <v>80</v>
      </c>
      <c r="H226" s="178">
        <v>1</v>
      </c>
    </row>
    <row r="227" spans="1:8" ht="20.399999999999999" x14ac:dyDescent="0.3">
      <c r="A227" s="177" t="s">
        <v>697</v>
      </c>
      <c r="B227" s="177" t="s">
        <v>558</v>
      </c>
      <c r="C227" s="178">
        <v>16</v>
      </c>
      <c r="D227" s="179">
        <v>46280</v>
      </c>
      <c r="E227" s="177" t="s">
        <v>559</v>
      </c>
      <c r="F227" s="178">
        <v>3</v>
      </c>
      <c r="G227" s="178">
        <v>6</v>
      </c>
      <c r="H227" s="180"/>
    </row>
    <row r="228" spans="1:8" x14ac:dyDescent="0.3">
      <c r="A228" s="177" t="s">
        <v>698</v>
      </c>
      <c r="B228" s="177" t="s">
        <v>558</v>
      </c>
      <c r="C228" s="178">
        <v>20</v>
      </c>
      <c r="D228" s="179">
        <v>46280</v>
      </c>
      <c r="E228" s="177" t="s">
        <v>559</v>
      </c>
      <c r="F228" s="178">
        <v>2</v>
      </c>
      <c r="G228" s="178">
        <v>6</v>
      </c>
      <c r="H228" s="180"/>
    </row>
    <row r="229" spans="1:8" ht="20.399999999999999" x14ac:dyDescent="0.3">
      <c r="A229" s="177" t="s">
        <v>699</v>
      </c>
      <c r="B229" s="177" t="s">
        <v>642</v>
      </c>
      <c r="C229" s="178">
        <v>2</v>
      </c>
      <c r="D229" s="179">
        <v>46280</v>
      </c>
      <c r="E229" s="177" t="s">
        <v>637</v>
      </c>
      <c r="F229" s="178">
        <v>41</v>
      </c>
      <c r="G229" s="178">
        <v>233</v>
      </c>
      <c r="H229" s="180"/>
    </row>
    <row r="230" spans="1:8" ht="20.399999999999999" x14ac:dyDescent="0.3">
      <c r="A230" s="177" t="s">
        <v>206</v>
      </c>
      <c r="B230" s="177" t="s">
        <v>686</v>
      </c>
      <c r="C230" s="178">
        <v>156</v>
      </c>
      <c r="D230" s="179">
        <v>46280</v>
      </c>
      <c r="E230" s="177" t="s">
        <v>550</v>
      </c>
      <c r="F230" s="178">
        <v>12</v>
      </c>
      <c r="G230" s="180"/>
      <c r="H230" s="180"/>
    </row>
    <row r="231" spans="1:8" ht="20.399999999999999" x14ac:dyDescent="0.3">
      <c r="A231" s="177" t="s">
        <v>121</v>
      </c>
      <c r="B231" s="177" t="s">
        <v>686</v>
      </c>
      <c r="C231" s="178">
        <v>158</v>
      </c>
      <c r="D231" s="179">
        <v>46280</v>
      </c>
      <c r="E231" s="177" t="s">
        <v>550</v>
      </c>
      <c r="F231" s="178">
        <v>5</v>
      </c>
      <c r="G231" s="180"/>
      <c r="H231" s="180"/>
    </row>
    <row r="232" spans="1:8" ht="20.399999999999999" x14ac:dyDescent="0.3">
      <c r="A232" s="177" t="s">
        <v>38</v>
      </c>
      <c r="B232" s="177" t="s">
        <v>686</v>
      </c>
      <c r="C232" s="178">
        <v>202</v>
      </c>
      <c r="D232" s="179">
        <v>46280</v>
      </c>
      <c r="E232" s="177" t="s">
        <v>550</v>
      </c>
      <c r="F232" s="178">
        <v>20</v>
      </c>
      <c r="G232" s="178">
        <v>16</v>
      </c>
      <c r="H232" s="180"/>
    </row>
    <row r="233" spans="1:8" ht="20.399999999999999" x14ac:dyDescent="0.3">
      <c r="A233" s="177" t="s">
        <v>189</v>
      </c>
      <c r="B233" s="177" t="s">
        <v>686</v>
      </c>
      <c r="C233" s="178">
        <v>214</v>
      </c>
      <c r="D233" s="179">
        <v>46280</v>
      </c>
      <c r="E233" s="177" t="s">
        <v>550</v>
      </c>
      <c r="F233" s="178">
        <v>4</v>
      </c>
      <c r="G233" s="178">
        <v>29</v>
      </c>
      <c r="H233" s="180"/>
    </row>
    <row r="234" spans="1:8" ht="20.399999999999999" x14ac:dyDescent="0.3">
      <c r="A234" s="177" t="s">
        <v>617</v>
      </c>
      <c r="B234" s="177" t="s">
        <v>552</v>
      </c>
      <c r="C234" s="178">
        <v>6</v>
      </c>
      <c r="D234" s="179">
        <v>46281</v>
      </c>
      <c r="E234" s="177" t="s">
        <v>550</v>
      </c>
      <c r="F234" s="178">
        <v>30</v>
      </c>
      <c r="G234" s="180"/>
      <c r="H234" s="180"/>
    </row>
    <row r="235" spans="1:8" ht="20.399999999999999" x14ac:dyDescent="0.3">
      <c r="A235" s="177" t="s">
        <v>568</v>
      </c>
      <c r="B235" s="177" t="s">
        <v>552</v>
      </c>
      <c r="C235" s="178">
        <v>86</v>
      </c>
      <c r="D235" s="179">
        <v>46281</v>
      </c>
      <c r="E235" s="177" t="s">
        <v>550</v>
      </c>
      <c r="F235" s="178">
        <v>60</v>
      </c>
      <c r="G235" s="180"/>
      <c r="H235" s="180"/>
    </row>
    <row r="236" spans="1:8" x14ac:dyDescent="0.3">
      <c r="A236" s="177" t="s">
        <v>700</v>
      </c>
      <c r="B236" s="177" t="s">
        <v>667</v>
      </c>
      <c r="C236" s="178">
        <v>36</v>
      </c>
      <c r="D236" s="179">
        <v>46281</v>
      </c>
      <c r="E236" s="177" t="s">
        <v>550</v>
      </c>
      <c r="F236" s="178">
        <v>5</v>
      </c>
      <c r="G236" s="178">
        <v>50</v>
      </c>
      <c r="H236" s="180"/>
    </row>
    <row r="237" spans="1:8" ht="20.399999999999999" x14ac:dyDescent="0.3">
      <c r="A237" s="177" t="s">
        <v>180</v>
      </c>
      <c r="B237" s="177" t="s">
        <v>662</v>
      </c>
      <c r="C237" s="178">
        <v>300</v>
      </c>
      <c r="D237" s="179">
        <v>46282</v>
      </c>
      <c r="E237" s="177" t="s">
        <v>550</v>
      </c>
      <c r="F237" s="178">
        <v>12</v>
      </c>
      <c r="G237" s="180"/>
      <c r="H237" s="180"/>
    </row>
    <row r="238" spans="1:8" ht="20.399999999999999" x14ac:dyDescent="0.3">
      <c r="A238" s="177" t="s">
        <v>217</v>
      </c>
      <c r="B238" s="177" t="s">
        <v>662</v>
      </c>
      <c r="C238" s="178">
        <v>310</v>
      </c>
      <c r="D238" s="179">
        <v>46282</v>
      </c>
      <c r="E238" s="177" t="s">
        <v>550</v>
      </c>
      <c r="F238" s="178">
        <v>12</v>
      </c>
      <c r="G238" s="178">
        <v>10</v>
      </c>
      <c r="H238" s="180"/>
    </row>
    <row r="239" spans="1:8" ht="20.399999999999999" x14ac:dyDescent="0.3">
      <c r="A239" s="177" t="s">
        <v>129</v>
      </c>
      <c r="B239" s="177" t="s">
        <v>662</v>
      </c>
      <c r="C239" s="178">
        <v>306</v>
      </c>
      <c r="D239" s="179">
        <v>46282</v>
      </c>
      <c r="E239" s="177" t="s">
        <v>550</v>
      </c>
      <c r="F239" s="178">
        <v>12</v>
      </c>
      <c r="G239" s="180"/>
      <c r="H239" s="180"/>
    </row>
    <row r="240" spans="1:8" ht="20.399999999999999" x14ac:dyDescent="0.3">
      <c r="A240" s="177" t="s">
        <v>218</v>
      </c>
      <c r="B240" s="177" t="s">
        <v>662</v>
      </c>
      <c r="C240" s="178">
        <v>316</v>
      </c>
      <c r="D240" s="179">
        <v>46282</v>
      </c>
      <c r="E240" s="177" t="s">
        <v>550</v>
      </c>
      <c r="F240" s="178">
        <v>12</v>
      </c>
      <c r="G240" s="180"/>
      <c r="H240" s="180"/>
    </row>
    <row r="241" spans="1:8" ht="20.399999999999999" x14ac:dyDescent="0.3">
      <c r="A241" s="177" t="s">
        <v>215</v>
      </c>
      <c r="B241" s="177" t="s">
        <v>701</v>
      </c>
      <c r="C241" s="178">
        <v>48</v>
      </c>
      <c r="D241" s="179">
        <v>46282</v>
      </c>
      <c r="E241" s="177" t="s">
        <v>550</v>
      </c>
      <c r="F241" s="178">
        <v>8</v>
      </c>
      <c r="G241" s="178">
        <v>60</v>
      </c>
      <c r="H241" s="180"/>
    </row>
    <row r="242" spans="1:8" ht="20.399999999999999" x14ac:dyDescent="0.3">
      <c r="A242" s="177" t="s">
        <v>156</v>
      </c>
      <c r="B242" s="177" t="s">
        <v>702</v>
      </c>
      <c r="C242" s="178">
        <v>24</v>
      </c>
      <c r="D242" s="179">
        <v>46282</v>
      </c>
      <c r="E242" s="177" t="s">
        <v>550</v>
      </c>
      <c r="F242" s="178">
        <v>2</v>
      </c>
      <c r="G242" s="180"/>
      <c r="H242" s="180"/>
    </row>
    <row r="243" spans="1:8" ht="20.399999999999999" x14ac:dyDescent="0.3">
      <c r="A243" s="177" t="s">
        <v>703</v>
      </c>
      <c r="B243" s="177" t="s">
        <v>686</v>
      </c>
      <c r="C243" s="178">
        <v>28</v>
      </c>
      <c r="D243" s="179">
        <v>46283</v>
      </c>
      <c r="E243" s="177" t="s">
        <v>550</v>
      </c>
      <c r="F243" s="178">
        <v>3</v>
      </c>
      <c r="G243" s="178">
        <v>16</v>
      </c>
      <c r="H243" s="180"/>
    </row>
    <row r="244" spans="1:8" ht="20.399999999999999" x14ac:dyDescent="0.3">
      <c r="A244" s="177" t="s">
        <v>166</v>
      </c>
      <c r="B244" s="177" t="s">
        <v>662</v>
      </c>
      <c r="C244" s="178">
        <v>102</v>
      </c>
      <c r="D244" s="179">
        <v>46283</v>
      </c>
      <c r="E244" s="177" t="s">
        <v>550</v>
      </c>
      <c r="F244" s="178">
        <v>4</v>
      </c>
      <c r="G244" s="178">
        <v>15</v>
      </c>
      <c r="H244" s="178">
        <v>3</v>
      </c>
    </row>
    <row r="245" spans="1:8" ht="20.399999999999999" x14ac:dyDescent="0.3">
      <c r="A245" s="177" t="s">
        <v>703</v>
      </c>
      <c r="B245" s="177" t="s">
        <v>651</v>
      </c>
      <c r="C245" s="178">
        <v>104</v>
      </c>
      <c r="D245" s="179">
        <v>46283</v>
      </c>
      <c r="E245" s="177" t="s">
        <v>550</v>
      </c>
      <c r="F245" s="178">
        <v>5</v>
      </c>
      <c r="G245" s="178">
        <v>35</v>
      </c>
      <c r="H245" s="180"/>
    </row>
    <row r="246" spans="1:8" ht="20.399999999999999" x14ac:dyDescent="0.3">
      <c r="A246" s="177" t="s">
        <v>703</v>
      </c>
      <c r="B246" s="177" t="s">
        <v>653</v>
      </c>
      <c r="C246" s="178">
        <v>56</v>
      </c>
      <c r="D246" s="179">
        <v>46283</v>
      </c>
      <c r="E246" s="177" t="s">
        <v>550</v>
      </c>
      <c r="F246" s="178">
        <v>5</v>
      </c>
      <c r="G246" s="178">
        <v>18</v>
      </c>
      <c r="H246" s="180"/>
    </row>
    <row r="247" spans="1:8" ht="20.399999999999999" x14ac:dyDescent="0.3">
      <c r="A247" s="177" t="s">
        <v>262</v>
      </c>
      <c r="B247" s="177" t="s">
        <v>690</v>
      </c>
      <c r="C247" s="178">
        <v>34</v>
      </c>
      <c r="D247" s="179">
        <v>46285</v>
      </c>
      <c r="E247" s="177" t="s">
        <v>550</v>
      </c>
      <c r="F247" s="178">
        <v>12</v>
      </c>
      <c r="G247" s="178">
        <v>26</v>
      </c>
      <c r="H247" s="180"/>
    </row>
    <row r="248" spans="1:8" ht="20.399999999999999" x14ac:dyDescent="0.3">
      <c r="A248" s="177" t="s">
        <v>262</v>
      </c>
      <c r="B248" s="177" t="s">
        <v>690</v>
      </c>
      <c r="C248" s="178">
        <v>36</v>
      </c>
      <c r="D248" s="179">
        <v>46285</v>
      </c>
      <c r="E248" s="177" t="s">
        <v>550</v>
      </c>
      <c r="F248" s="178">
        <v>12</v>
      </c>
      <c r="G248" s="180"/>
      <c r="H248" s="180"/>
    </row>
    <row r="249" spans="1:8" ht="20.399999999999999" x14ac:dyDescent="0.3">
      <c r="A249" s="177" t="s">
        <v>704</v>
      </c>
      <c r="B249" s="177" t="s">
        <v>603</v>
      </c>
      <c r="C249" s="178">
        <v>284</v>
      </c>
      <c r="D249" s="179">
        <v>46286</v>
      </c>
      <c r="E249" s="177" t="s">
        <v>550</v>
      </c>
      <c r="F249" s="178">
        <v>17</v>
      </c>
      <c r="G249" s="180"/>
      <c r="H249" s="180"/>
    </row>
    <row r="250" spans="1:8" ht="20.399999999999999" x14ac:dyDescent="0.3">
      <c r="A250" s="177" t="s">
        <v>704</v>
      </c>
      <c r="B250" s="177" t="s">
        <v>614</v>
      </c>
      <c r="C250" s="178">
        <v>2</v>
      </c>
      <c r="D250" s="179">
        <v>46286</v>
      </c>
      <c r="E250" s="177" t="s">
        <v>550</v>
      </c>
      <c r="F250" s="178">
        <v>27</v>
      </c>
      <c r="G250" s="180"/>
      <c r="H250" s="180"/>
    </row>
    <row r="251" spans="1:8" ht="20.399999999999999" x14ac:dyDescent="0.3">
      <c r="A251" s="177" t="s">
        <v>705</v>
      </c>
      <c r="B251" s="177" t="s">
        <v>706</v>
      </c>
      <c r="C251" s="178">
        <v>12</v>
      </c>
      <c r="D251" s="179">
        <v>46287</v>
      </c>
      <c r="E251" s="177" t="s">
        <v>550</v>
      </c>
      <c r="F251" s="178">
        <v>6</v>
      </c>
      <c r="G251" s="180"/>
      <c r="H251" s="180"/>
    </row>
    <row r="252" spans="1:8" ht="20.399999999999999" x14ac:dyDescent="0.3">
      <c r="A252" s="177" t="s">
        <v>707</v>
      </c>
      <c r="B252" s="177" t="s">
        <v>614</v>
      </c>
      <c r="C252" s="178">
        <v>146</v>
      </c>
      <c r="D252" s="179">
        <v>46287</v>
      </c>
      <c r="E252" s="177" t="s">
        <v>550</v>
      </c>
      <c r="F252" s="178">
        <v>2</v>
      </c>
      <c r="G252" s="180"/>
      <c r="H252" s="178">
        <v>0</v>
      </c>
    </row>
    <row r="253" spans="1:8" ht="20.399999999999999" x14ac:dyDescent="0.3">
      <c r="A253" s="177" t="s">
        <v>707</v>
      </c>
      <c r="B253" s="177" t="s">
        <v>614</v>
      </c>
      <c r="C253" s="178">
        <v>148</v>
      </c>
      <c r="D253" s="179">
        <v>46287</v>
      </c>
      <c r="E253" s="177" t="s">
        <v>550</v>
      </c>
      <c r="F253" s="178">
        <v>5</v>
      </c>
      <c r="G253" s="180"/>
      <c r="H253" s="178">
        <v>0</v>
      </c>
    </row>
    <row r="254" spans="1:8" ht="20.399999999999999" x14ac:dyDescent="0.3">
      <c r="A254" s="177" t="s">
        <v>707</v>
      </c>
      <c r="B254" s="177" t="s">
        <v>614</v>
      </c>
      <c r="C254" s="178">
        <v>150</v>
      </c>
      <c r="D254" s="179">
        <v>46287</v>
      </c>
      <c r="E254" s="177" t="s">
        <v>550</v>
      </c>
      <c r="F254" s="178">
        <v>5</v>
      </c>
      <c r="G254" s="180"/>
      <c r="H254" s="178">
        <v>0</v>
      </c>
    </row>
    <row r="255" spans="1:8" ht="20.399999999999999" x14ac:dyDescent="0.3">
      <c r="A255" s="177" t="s">
        <v>708</v>
      </c>
      <c r="B255" s="177" t="s">
        <v>651</v>
      </c>
      <c r="C255" s="178">
        <v>30</v>
      </c>
      <c r="D255" s="179">
        <v>46287</v>
      </c>
      <c r="E255" s="177" t="s">
        <v>550</v>
      </c>
      <c r="F255" s="178">
        <v>5</v>
      </c>
      <c r="G255" s="178">
        <v>6</v>
      </c>
      <c r="H255" s="180"/>
    </row>
    <row r="256" spans="1:8" ht="20.399999999999999" x14ac:dyDescent="0.3">
      <c r="A256" s="177" t="s">
        <v>187</v>
      </c>
      <c r="B256" s="177" t="s">
        <v>651</v>
      </c>
      <c r="C256" s="178">
        <v>78</v>
      </c>
      <c r="D256" s="179">
        <v>46287</v>
      </c>
      <c r="E256" s="177" t="s">
        <v>550</v>
      </c>
      <c r="F256" s="178">
        <v>1</v>
      </c>
      <c r="G256" s="180"/>
      <c r="H256" s="180"/>
    </row>
    <row r="257" spans="1:8" ht="20.399999999999999" x14ac:dyDescent="0.3">
      <c r="A257" s="177" t="s">
        <v>708</v>
      </c>
      <c r="B257" s="177" t="s">
        <v>685</v>
      </c>
      <c r="C257" s="178">
        <v>216</v>
      </c>
      <c r="D257" s="179">
        <v>46287</v>
      </c>
      <c r="E257" s="177" t="s">
        <v>550</v>
      </c>
      <c r="F257" s="178">
        <v>9</v>
      </c>
      <c r="G257" s="178">
        <v>15</v>
      </c>
      <c r="H257" s="180"/>
    </row>
    <row r="258" spans="1:8" ht="20.399999999999999" x14ac:dyDescent="0.3">
      <c r="A258" s="177" t="s">
        <v>708</v>
      </c>
      <c r="B258" s="177" t="s">
        <v>685</v>
      </c>
      <c r="C258" s="178">
        <v>220</v>
      </c>
      <c r="D258" s="179">
        <v>46287</v>
      </c>
      <c r="E258" s="177" t="s">
        <v>550</v>
      </c>
      <c r="F258" s="178">
        <v>3</v>
      </c>
      <c r="G258" s="178">
        <v>35</v>
      </c>
      <c r="H258" s="180"/>
    </row>
    <row r="259" spans="1:8" ht="20.399999999999999" x14ac:dyDescent="0.3">
      <c r="A259" s="177" t="s">
        <v>187</v>
      </c>
      <c r="B259" s="177" t="s">
        <v>686</v>
      </c>
      <c r="C259" s="178">
        <v>150</v>
      </c>
      <c r="D259" s="179">
        <v>46287</v>
      </c>
      <c r="E259" s="177" t="s">
        <v>550</v>
      </c>
      <c r="F259" s="178">
        <v>2</v>
      </c>
      <c r="G259" s="180"/>
      <c r="H259" s="180"/>
    </row>
    <row r="260" spans="1:8" ht="20.399999999999999" x14ac:dyDescent="0.3">
      <c r="A260" s="177" t="s">
        <v>189</v>
      </c>
      <c r="B260" s="177" t="s">
        <v>651</v>
      </c>
      <c r="C260" s="178">
        <v>76</v>
      </c>
      <c r="D260" s="179">
        <v>46288</v>
      </c>
      <c r="E260" s="177" t="s">
        <v>550</v>
      </c>
      <c r="F260" s="178">
        <v>1</v>
      </c>
      <c r="G260" s="180"/>
      <c r="H260" s="180"/>
    </row>
    <row r="261" spans="1:8" x14ac:dyDescent="0.3">
      <c r="A261" s="177" t="s">
        <v>709</v>
      </c>
      <c r="B261" s="177" t="s">
        <v>667</v>
      </c>
      <c r="C261" s="178">
        <v>10</v>
      </c>
      <c r="D261" s="179">
        <v>46288</v>
      </c>
      <c r="E261" s="177" t="s">
        <v>550</v>
      </c>
      <c r="F261" s="178">
        <v>7</v>
      </c>
      <c r="G261" s="178">
        <v>24</v>
      </c>
      <c r="H261" s="180"/>
    </row>
    <row r="262" spans="1:8" ht="20.399999999999999" x14ac:dyDescent="0.3">
      <c r="A262" s="177" t="s">
        <v>113</v>
      </c>
      <c r="B262" s="177" t="s">
        <v>649</v>
      </c>
      <c r="C262" s="178">
        <v>464</v>
      </c>
      <c r="D262" s="179">
        <v>46289</v>
      </c>
      <c r="E262" s="177" t="s">
        <v>550</v>
      </c>
      <c r="F262" s="178">
        <v>1</v>
      </c>
      <c r="G262" s="180"/>
      <c r="H262" s="180"/>
    </row>
    <row r="263" spans="1:8" ht="20.399999999999999" x14ac:dyDescent="0.3">
      <c r="A263" s="177" t="s">
        <v>113</v>
      </c>
      <c r="B263" s="177" t="s">
        <v>661</v>
      </c>
      <c r="C263" s="178">
        <v>400</v>
      </c>
      <c r="D263" s="179">
        <v>46289</v>
      </c>
      <c r="E263" s="177" t="s">
        <v>550</v>
      </c>
      <c r="F263" s="178">
        <v>7</v>
      </c>
      <c r="G263" s="180"/>
      <c r="H263" s="180"/>
    </row>
    <row r="264" spans="1:8" ht="20.399999999999999" x14ac:dyDescent="0.3">
      <c r="A264" s="177" t="s">
        <v>680</v>
      </c>
      <c r="B264" s="177" t="s">
        <v>696</v>
      </c>
      <c r="C264" s="178">
        <v>16</v>
      </c>
      <c r="D264" s="179">
        <v>46289</v>
      </c>
      <c r="E264" s="177" t="s">
        <v>550</v>
      </c>
      <c r="F264" s="178">
        <v>2</v>
      </c>
      <c r="G264" s="180"/>
      <c r="H264" s="180"/>
    </row>
    <row r="265" spans="1:8" ht="20.399999999999999" x14ac:dyDescent="0.3">
      <c r="A265" s="177" t="s">
        <v>113</v>
      </c>
      <c r="B265" s="177" t="s">
        <v>662</v>
      </c>
      <c r="C265" s="178">
        <v>168</v>
      </c>
      <c r="D265" s="179">
        <v>46289</v>
      </c>
      <c r="E265" s="177" t="s">
        <v>550</v>
      </c>
      <c r="F265" s="178">
        <v>12</v>
      </c>
      <c r="G265" s="180"/>
      <c r="H265" s="180"/>
    </row>
    <row r="266" spans="1:8" ht="20.399999999999999" x14ac:dyDescent="0.3">
      <c r="A266" s="177" t="s">
        <v>206</v>
      </c>
      <c r="B266" s="177" t="s">
        <v>662</v>
      </c>
      <c r="C266" s="178">
        <v>294</v>
      </c>
      <c r="D266" s="179">
        <v>46289</v>
      </c>
      <c r="E266" s="177" t="s">
        <v>550</v>
      </c>
      <c r="F266" s="178">
        <v>12</v>
      </c>
      <c r="G266" s="180"/>
      <c r="H266" s="180"/>
    </row>
    <row r="267" spans="1:8" ht="20.399999999999999" x14ac:dyDescent="0.3">
      <c r="A267" s="177" t="s">
        <v>320</v>
      </c>
      <c r="B267" s="177" t="s">
        <v>669</v>
      </c>
      <c r="C267" s="178">
        <v>94</v>
      </c>
      <c r="D267" s="179">
        <v>46289</v>
      </c>
      <c r="E267" s="177" t="s">
        <v>550</v>
      </c>
      <c r="F267" s="178">
        <v>12</v>
      </c>
      <c r="G267" s="178">
        <v>48</v>
      </c>
      <c r="H267" s="180"/>
    </row>
    <row r="268" spans="1:8" ht="20.399999999999999" x14ac:dyDescent="0.3">
      <c r="A268" s="177" t="s">
        <v>146</v>
      </c>
      <c r="B268" s="177" t="s">
        <v>688</v>
      </c>
      <c r="C268" s="178">
        <v>16</v>
      </c>
      <c r="D268" s="179">
        <v>46289</v>
      </c>
      <c r="E268" s="177" t="s">
        <v>550</v>
      </c>
      <c r="F268" s="178">
        <v>4</v>
      </c>
      <c r="G268" s="180"/>
      <c r="H268" s="180"/>
    </row>
    <row r="269" spans="1:8" ht="20.399999999999999" x14ac:dyDescent="0.3">
      <c r="A269" s="177" t="s">
        <v>24</v>
      </c>
      <c r="B269" s="177" t="s">
        <v>682</v>
      </c>
      <c r="C269" s="178">
        <v>22</v>
      </c>
      <c r="D269" s="179">
        <v>46289</v>
      </c>
      <c r="E269" s="177" t="s">
        <v>550</v>
      </c>
      <c r="F269" s="178">
        <v>12</v>
      </c>
      <c r="G269" s="178">
        <v>2</v>
      </c>
      <c r="H269" s="180"/>
    </row>
    <row r="270" spans="1:8" ht="20.399999999999999" x14ac:dyDescent="0.3">
      <c r="A270" s="177" t="s">
        <v>684</v>
      </c>
      <c r="B270" s="177" t="s">
        <v>662</v>
      </c>
      <c r="C270" s="178">
        <v>318</v>
      </c>
      <c r="D270" s="179">
        <v>46289</v>
      </c>
      <c r="E270" s="177" t="s">
        <v>550</v>
      </c>
      <c r="F270" s="178">
        <v>12</v>
      </c>
      <c r="G270" s="180"/>
      <c r="H270" s="180"/>
    </row>
    <row r="271" spans="1:8" ht="20.399999999999999" x14ac:dyDescent="0.3">
      <c r="A271" s="177" t="s">
        <v>684</v>
      </c>
      <c r="B271" s="177" t="s">
        <v>662</v>
      </c>
      <c r="C271" s="178">
        <v>320</v>
      </c>
      <c r="D271" s="179">
        <v>46289</v>
      </c>
      <c r="E271" s="177" t="s">
        <v>550</v>
      </c>
      <c r="F271" s="178">
        <v>12</v>
      </c>
      <c r="G271" s="180"/>
      <c r="H271" s="180"/>
    </row>
    <row r="272" spans="1:8" ht="20.399999999999999" x14ac:dyDescent="0.3">
      <c r="A272" s="177" t="s">
        <v>214</v>
      </c>
      <c r="B272" s="177" t="s">
        <v>582</v>
      </c>
      <c r="C272" s="178">
        <v>96</v>
      </c>
      <c r="D272" s="179">
        <v>46289</v>
      </c>
      <c r="E272" s="177" t="s">
        <v>550</v>
      </c>
      <c r="F272" s="178">
        <v>2</v>
      </c>
      <c r="G272" s="178">
        <v>14</v>
      </c>
      <c r="H272" s="180"/>
    </row>
    <row r="273" spans="1:8" ht="20.399999999999999" x14ac:dyDescent="0.3">
      <c r="A273" s="177" t="s">
        <v>214</v>
      </c>
      <c r="B273" s="177" t="s">
        <v>582</v>
      </c>
      <c r="C273" s="178">
        <v>98</v>
      </c>
      <c r="D273" s="179">
        <v>46289</v>
      </c>
      <c r="E273" s="177" t="s">
        <v>550</v>
      </c>
      <c r="F273" s="178">
        <v>4</v>
      </c>
      <c r="G273" s="180"/>
      <c r="H273" s="180"/>
    </row>
    <row r="274" spans="1:8" ht="20.399999999999999" x14ac:dyDescent="0.3">
      <c r="A274" s="177" t="s">
        <v>214</v>
      </c>
      <c r="B274" s="177" t="s">
        <v>582</v>
      </c>
      <c r="C274" s="178">
        <v>100</v>
      </c>
      <c r="D274" s="179">
        <v>46289</v>
      </c>
      <c r="E274" s="177" t="s">
        <v>550</v>
      </c>
      <c r="F274" s="178">
        <v>4</v>
      </c>
      <c r="G274" s="180"/>
      <c r="H274" s="180"/>
    </row>
    <row r="275" spans="1:8" ht="20.399999999999999" x14ac:dyDescent="0.3">
      <c r="A275" s="177" t="s">
        <v>214</v>
      </c>
      <c r="B275" s="177" t="s">
        <v>582</v>
      </c>
      <c r="C275" s="178">
        <v>102</v>
      </c>
      <c r="D275" s="179">
        <v>46289</v>
      </c>
      <c r="E275" s="177" t="s">
        <v>550</v>
      </c>
      <c r="F275" s="178">
        <v>4</v>
      </c>
      <c r="G275" s="180"/>
      <c r="H275" s="180"/>
    </row>
    <row r="276" spans="1:8" ht="20.399999999999999" x14ac:dyDescent="0.3">
      <c r="A276" s="177" t="s">
        <v>214</v>
      </c>
      <c r="B276" s="177" t="s">
        <v>582</v>
      </c>
      <c r="C276" s="178">
        <v>150</v>
      </c>
      <c r="D276" s="179">
        <v>46289</v>
      </c>
      <c r="E276" s="177" t="s">
        <v>550</v>
      </c>
      <c r="F276" s="178">
        <v>4</v>
      </c>
      <c r="G276" s="178">
        <v>14</v>
      </c>
      <c r="H276" s="180"/>
    </row>
    <row r="277" spans="1:8" ht="20.399999999999999" x14ac:dyDescent="0.3">
      <c r="A277" s="177" t="s">
        <v>214</v>
      </c>
      <c r="B277" s="177" t="s">
        <v>582</v>
      </c>
      <c r="C277" s="178">
        <v>152</v>
      </c>
      <c r="D277" s="179">
        <v>46289</v>
      </c>
      <c r="E277" s="177" t="s">
        <v>550</v>
      </c>
      <c r="F277" s="178">
        <v>4</v>
      </c>
      <c r="G277" s="180"/>
      <c r="H277" s="180"/>
    </row>
    <row r="278" spans="1:8" ht="20.399999999999999" x14ac:dyDescent="0.3">
      <c r="A278" s="177" t="s">
        <v>214</v>
      </c>
      <c r="B278" s="177" t="s">
        <v>582</v>
      </c>
      <c r="C278" s="178">
        <v>154</v>
      </c>
      <c r="D278" s="179">
        <v>46289</v>
      </c>
      <c r="E278" s="177" t="s">
        <v>550</v>
      </c>
      <c r="F278" s="178">
        <v>4</v>
      </c>
      <c r="G278" s="180"/>
      <c r="H278" s="180"/>
    </row>
    <row r="279" spans="1:8" ht="20.399999999999999" x14ac:dyDescent="0.3">
      <c r="A279" s="177" t="s">
        <v>89</v>
      </c>
      <c r="B279" s="177" t="s">
        <v>655</v>
      </c>
      <c r="C279" s="178">
        <v>8</v>
      </c>
      <c r="D279" s="179">
        <v>46290</v>
      </c>
      <c r="E279" s="177" t="s">
        <v>550</v>
      </c>
      <c r="F279" s="178">
        <v>1</v>
      </c>
      <c r="G279" s="180"/>
      <c r="H279" s="180"/>
    </row>
    <row r="280" spans="1:8" ht="20.399999999999999" x14ac:dyDescent="0.3">
      <c r="A280" s="177" t="s">
        <v>89</v>
      </c>
      <c r="B280" s="177" t="s">
        <v>655</v>
      </c>
      <c r="C280" s="178">
        <v>10</v>
      </c>
      <c r="D280" s="179">
        <v>46290</v>
      </c>
      <c r="E280" s="177" t="s">
        <v>550</v>
      </c>
      <c r="F280" s="178">
        <v>8</v>
      </c>
      <c r="G280" s="180"/>
      <c r="H280" s="180"/>
    </row>
    <row r="281" spans="1:8" ht="20.399999999999999" x14ac:dyDescent="0.3">
      <c r="A281" s="177" t="s">
        <v>710</v>
      </c>
      <c r="B281" s="177" t="s">
        <v>711</v>
      </c>
      <c r="C281" s="178">
        <v>6</v>
      </c>
      <c r="D281" s="179">
        <v>46290</v>
      </c>
      <c r="E281" s="177" t="s">
        <v>550</v>
      </c>
      <c r="F281" s="178">
        <v>8</v>
      </c>
      <c r="G281" s="180"/>
      <c r="H281" s="178">
        <v>5</v>
      </c>
    </row>
    <row r="282" spans="1:8" ht="20.399999999999999" x14ac:dyDescent="0.3">
      <c r="A282" s="177" t="s">
        <v>712</v>
      </c>
      <c r="B282" s="177" t="s">
        <v>614</v>
      </c>
      <c r="C282" s="178">
        <v>158</v>
      </c>
      <c r="D282" s="179">
        <v>46290</v>
      </c>
      <c r="E282" s="177" t="s">
        <v>550</v>
      </c>
      <c r="F282" s="178">
        <v>2</v>
      </c>
      <c r="G282" s="180"/>
      <c r="H282" s="180"/>
    </row>
    <row r="283" spans="1:8" ht="20.399999999999999" x14ac:dyDescent="0.3">
      <c r="A283" s="177" t="s">
        <v>712</v>
      </c>
      <c r="B283" s="177" t="s">
        <v>614</v>
      </c>
      <c r="C283" s="178">
        <v>160</v>
      </c>
      <c r="D283" s="179">
        <v>46290</v>
      </c>
      <c r="E283" s="177" t="s">
        <v>550</v>
      </c>
      <c r="F283" s="178">
        <v>4</v>
      </c>
      <c r="G283" s="180"/>
      <c r="H283" s="180"/>
    </row>
    <row r="284" spans="1:8" ht="20.399999999999999" x14ac:dyDescent="0.3">
      <c r="A284" s="177" t="s">
        <v>712</v>
      </c>
      <c r="B284" s="177" t="s">
        <v>614</v>
      </c>
      <c r="C284" s="178">
        <v>162</v>
      </c>
      <c r="D284" s="179">
        <v>46290</v>
      </c>
      <c r="E284" s="177" t="s">
        <v>550</v>
      </c>
      <c r="F284" s="178">
        <v>5</v>
      </c>
      <c r="G284" s="180"/>
      <c r="H284" s="180"/>
    </row>
    <row r="285" spans="1:8" x14ac:dyDescent="0.3">
      <c r="A285" s="177" t="s">
        <v>693</v>
      </c>
      <c r="B285" s="177" t="s">
        <v>614</v>
      </c>
      <c r="C285" s="178">
        <v>204</v>
      </c>
      <c r="D285" s="179">
        <v>46293</v>
      </c>
      <c r="E285" s="177" t="s">
        <v>550</v>
      </c>
      <c r="F285" s="178">
        <v>4</v>
      </c>
      <c r="G285" s="180"/>
      <c r="H285" s="180"/>
    </row>
    <row r="286" spans="1:8" ht="20.399999999999999" x14ac:dyDescent="0.3">
      <c r="A286" s="177" t="s">
        <v>152</v>
      </c>
      <c r="B286" s="177" t="s">
        <v>662</v>
      </c>
      <c r="C286" s="178">
        <v>170</v>
      </c>
      <c r="D286" s="179">
        <v>46293</v>
      </c>
      <c r="E286" s="177" t="s">
        <v>550</v>
      </c>
      <c r="F286" s="178">
        <v>3</v>
      </c>
      <c r="G286" s="180"/>
      <c r="H286" s="180"/>
    </row>
    <row r="287" spans="1:8" ht="20.399999999999999" x14ac:dyDescent="0.3">
      <c r="A287" s="177" t="s">
        <v>251</v>
      </c>
      <c r="B287" s="177" t="s">
        <v>662</v>
      </c>
      <c r="C287" s="178">
        <v>178</v>
      </c>
      <c r="D287" s="179">
        <v>46293</v>
      </c>
      <c r="E287" s="177" t="s">
        <v>550</v>
      </c>
      <c r="F287" s="178">
        <v>48</v>
      </c>
      <c r="G287" s="180"/>
      <c r="H287" s="178">
        <v>121</v>
      </c>
    </row>
    <row r="288" spans="1:8" ht="20.399999999999999" x14ac:dyDescent="0.3">
      <c r="A288" s="177" t="s">
        <v>713</v>
      </c>
      <c r="B288" s="177" t="s">
        <v>688</v>
      </c>
      <c r="C288" s="178">
        <v>4</v>
      </c>
      <c r="D288" s="179">
        <v>46295</v>
      </c>
      <c r="E288" s="177" t="s">
        <v>550</v>
      </c>
      <c r="F288" s="178">
        <v>10</v>
      </c>
      <c r="G288" s="180"/>
      <c r="H288" s="180"/>
    </row>
    <row r="289" spans="1:8" ht="20.399999999999999" x14ac:dyDescent="0.3">
      <c r="A289" s="177" t="s">
        <v>330</v>
      </c>
      <c r="B289" s="177" t="s">
        <v>688</v>
      </c>
      <c r="C289" s="178">
        <v>44</v>
      </c>
      <c r="D289" s="179">
        <v>46295</v>
      </c>
      <c r="E289" s="177" t="s">
        <v>550</v>
      </c>
      <c r="F289" s="178">
        <v>12</v>
      </c>
      <c r="G289" s="178">
        <v>12</v>
      </c>
      <c r="H289" s="180"/>
    </row>
    <row r="290" spans="1:8" ht="20.399999999999999" x14ac:dyDescent="0.3">
      <c r="A290" s="177" t="s">
        <v>714</v>
      </c>
      <c r="B290" s="177" t="s">
        <v>686</v>
      </c>
      <c r="C290" s="178">
        <v>12</v>
      </c>
      <c r="D290" s="179">
        <v>46295</v>
      </c>
      <c r="E290" s="177" t="s">
        <v>550</v>
      </c>
      <c r="F290" s="178">
        <v>2</v>
      </c>
      <c r="G290" s="178">
        <v>27</v>
      </c>
      <c r="H290" s="180"/>
    </row>
    <row r="291" spans="1:8" ht="20.399999999999999" x14ac:dyDescent="0.3">
      <c r="A291" s="177" t="s">
        <v>710</v>
      </c>
      <c r="B291" s="177" t="s">
        <v>614</v>
      </c>
      <c r="C291" s="178">
        <v>114</v>
      </c>
      <c r="D291" s="179">
        <v>46295</v>
      </c>
      <c r="E291" s="177" t="s">
        <v>550</v>
      </c>
      <c r="F291" s="178">
        <v>5</v>
      </c>
      <c r="G291" s="180"/>
      <c r="H291" s="178">
        <v>5</v>
      </c>
    </row>
    <row r="292" spans="1:8" ht="20.399999999999999" x14ac:dyDescent="0.3">
      <c r="A292" s="177" t="s">
        <v>75</v>
      </c>
      <c r="B292" s="177" t="s">
        <v>685</v>
      </c>
      <c r="C292" s="178">
        <v>246</v>
      </c>
      <c r="D292" s="179">
        <v>46295</v>
      </c>
      <c r="E292" s="177" t="s">
        <v>550</v>
      </c>
      <c r="F292" s="178">
        <v>3</v>
      </c>
      <c r="G292" s="178">
        <v>19</v>
      </c>
      <c r="H292" s="178">
        <v>1</v>
      </c>
    </row>
    <row r="293" spans="1:8" ht="20.399999999999999" x14ac:dyDescent="0.3">
      <c r="A293" s="177" t="s">
        <v>619</v>
      </c>
      <c r="B293" s="177" t="s">
        <v>685</v>
      </c>
      <c r="C293" s="178">
        <v>250</v>
      </c>
      <c r="D293" s="179">
        <v>46295</v>
      </c>
      <c r="E293" s="177" t="s">
        <v>550</v>
      </c>
      <c r="F293" s="178">
        <v>6</v>
      </c>
      <c r="G293" s="178">
        <v>11</v>
      </c>
      <c r="H293" s="180"/>
    </row>
    <row r="294" spans="1:8" ht="20.399999999999999" x14ac:dyDescent="0.3">
      <c r="A294" s="177" t="s">
        <v>49</v>
      </c>
      <c r="B294" s="177" t="s">
        <v>685</v>
      </c>
      <c r="C294" s="178">
        <v>78</v>
      </c>
      <c r="D294" s="179">
        <v>46295</v>
      </c>
      <c r="E294" s="177" t="s">
        <v>550</v>
      </c>
      <c r="F294" s="178">
        <v>8</v>
      </c>
      <c r="G294" s="180"/>
      <c r="H294" s="180"/>
    </row>
    <row r="295" spans="1:8" ht="20.399999999999999" x14ac:dyDescent="0.3">
      <c r="A295" s="177" t="s">
        <v>49</v>
      </c>
      <c r="B295" s="177" t="s">
        <v>649</v>
      </c>
      <c r="C295" s="178">
        <v>284</v>
      </c>
      <c r="D295" s="179">
        <v>46295</v>
      </c>
      <c r="E295" s="177" t="s">
        <v>550</v>
      </c>
      <c r="F295" s="178">
        <v>6</v>
      </c>
      <c r="G295" s="178">
        <v>10</v>
      </c>
      <c r="H295" s="180"/>
    </row>
    <row r="296" spans="1:8" ht="20.399999999999999" x14ac:dyDescent="0.3">
      <c r="A296" s="177" t="s">
        <v>713</v>
      </c>
      <c r="B296" s="177" t="s">
        <v>685</v>
      </c>
      <c r="C296" s="178">
        <v>434</v>
      </c>
      <c r="D296" s="179">
        <v>46295</v>
      </c>
      <c r="E296" s="177" t="s">
        <v>550</v>
      </c>
      <c r="F296" s="178">
        <v>1</v>
      </c>
      <c r="G296" s="178">
        <v>27</v>
      </c>
      <c r="H296" s="180"/>
    </row>
    <row r="297" spans="1:8" ht="20.399999999999999" x14ac:dyDescent="0.3">
      <c r="A297" s="177" t="s">
        <v>75</v>
      </c>
      <c r="B297" s="177" t="s">
        <v>657</v>
      </c>
      <c r="C297" s="178">
        <v>14</v>
      </c>
      <c r="D297" s="179">
        <v>46295</v>
      </c>
      <c r="E297" s="177" t="s">
        <v>550</v>
      </c>
      <c r="F297" s="178">
        <v>2</v>
      </c>
      <c r="G297" s="180"/>
      <c r="H297" s="178">
        <v>1</v>
      </c>
    </row>
    <row r="298" spans="1:8" ht="20.399999999999999" x14ac:dyDescent="0.3">
      <c r="A298" s="177" t="s">
        <v>619</v>
      </c>
      <c r="B298" s="177" t="s">
        <v>657</v>
      </c>
      <c r="C298" s="178">
        <v>16</v>
      </c>
      <c r="D298" s="179">
        <v>46295</v>
      </c>
      <c r="E298" s="177" t="s">
        <v>550</v>
      </c>
      <c r="F298" s="178">
        <v>6</v>
      </c>
      <c r="G298" s="180"/>
      <c r="H298" s="180"/>
    </row>
    <row r="299" spans="1:8" ht="20.399999999999999" x14ac:dyDescent="0.3">
      <c r="A299" s="177" t="s">
        <v>715</v>
      </c>
      <c r="B299" s="177" t="s">
        <v>594</v>
      </c>
      <c r="C299" s="178">
        <v>182</v>
      </c>
      <c r="D299" s="179">
        <v>46295</v>
      </c>
      <c r="E299" s="177" t="s">
        <v>550</v>
      </c>
      <c r="F299" s="178">
        <v>6</v>
      </c>
      <c r="G299" s="180"/>
      <c r="H299" s="180"/>
    </row>
    <row r="300" spans="1:8" ht="20.399999999999999" x14ac:dyDescent="0.3">
      <c r="A300" s="177" t="s">
        <v>715</v>
      </c>
      <c r="B300" s="177" t="s">
        <v>594</v>
      </c>
      <c r="C300" s="178">
        <v>184</v>
      </c>
      <c r="D300" s="179">
        <v>46295</v>
      </c>
      <c r="E300" s="177" t="s">
        <v>550</v>
      </c>
      <c r="F300" s="178">
        <v>4</v>
      </c>
      <c r="G300" s="180"/>
      <c r="H300" s="180"/>
    </row>
    <row r="301" spans="1:8" x14ac:dyDescent="0.3">
      <c r="A301" s="177" t="s">
        <v>716</v>
      </c>
      <c r="B301" s="177" t="s">
        <v>717</v>
      </c>
      <c r="C301" s="178">
        <v>2</v>
      </c>
      <c r="D301" s="179">
        <v>46295</v>
      </c>
      <c r="E301" s="177" t="s">
        <v>550</v>
      </c>
      <c r="F301" s="178">
        <v>10</v>
      </c>
      <c r="G301" s="178">
        <v>28</v>
      </c>
      <c r="H301" s="180"/>
    </row>
    <row r="302" spans="1:8" x14ac:dyDescent="0.3">
      <c r="A302" s="177" t="s">
        <v>716</v>
      </c>
      <c r="B302" s="177" t="s">
        <v>717</v>
      </c>
      <c r="C302" s="178">
        <v>4</v>
      </c>
      <c r="D302" s="179">
        <v>46295</v>
      </c>
      <c r="E302" s="177" t="s">
        <v>550</v>
      </c>
      <c r="F302" s="178">
        <v>14</v>
      </c>
      <c r="G302" s="180"/>
      <c r="H302" s="180"/>
    </row>
    <row r="303" spans="1:8" x14ac:dyDescent="0.3">
      <c r="A303" s="177" t="s">
        <v>716</v>
      </c>
      <c r="B303" s="177" t="s">
        <v>717</v>
      </c>
      <c r="C303" s="178">
        <v>6</v>
      </c>
      <c r="D303" s="179">
        <v>46295</v>
      </c>
      <c r="E303" s="177" t="s">
        <v>550</v>
      </c>
      <c r="F303" s="178">
        <v>3</v>
      </c>
      <c r="G303" s="180"/>
      <c r="H303" s="180"/>
    </row>
    <row r="304" spans="1:8" ht="20.399999999999999" x14ac:dyDescent="0.3">
      <c r="A304" s="177" t="s">
        <v>44</v>
      </c>
      <c r="B304" s="177" t="s">
        <v>582</v>
      </c>
      <c r="C304" s="178">
        <v>238</v>
      </c>
      <c r="D304" s="179">
        <v>46295</v>
      </c>
      <c r="E304" s="177" t="s">
        <v>550</v>
      </c>
      <c r="F304" s="178">
        <v>78</v>
      </c>
      <c r="G304" s="178">
        <v>270</v>
      </c>
      <c r="H304" s="180"/>
    </row>
    <row r="305" spans="1:8" ht="20.399999999999999" x14ac:dyDescent="0.3">
      <c r="A305" s="177" t="s">
        <v>619</v>
      </c>
      <c r="B305" s="177" t="s">
        <v>686</v>
      </c>
      <c r="C305" s="178">
        <v>170</v>
      </c>
      <c r="D305" s="179">
        <v>46295</v>
      </c>
      <c r="E305" s="177" t="s">
        <v>550</v>
      </c>
      <c r="F305" s="178">
        <v>2</v>
      </c>
      <c r="G305" s="180"/>
      <c r="H305" s="180"/>
    </row>
    <row r="306" spans="1:8" ht="20.399999999999999" x14ac:dyDescent="0.3">
      <c r="A306" s="177" t="s">
        <v>75</v>
      </c>
      <c r="B306" s="177" t="s">
        <v>686</v>
      </c>
      <c r="C306" s="178">
        <v>230</v>
      </c>
      <c r="D306" s="179">
        <v>46295</v>
      </c>
      <c r="E306" s="177" t="s">
        <v>550</v>
      </c>
      <c r="F306" s="178">
        <v>5</v>
      </c>
      <c r="G306" s="180"/>
      <c r="H306" s="178">
        <v>1</v>
      </c>
    </row>
    <row r="307" spans="1:8" ht="20.399999999999999" x14ac:dyDescent="0.3">
      <c r="A307" s="177" t="s">
        <v>441</v>
      </c>
      <c r="B307" s="177" t="s">
        <v>650</v>
      </c>
      <c r="C307" s="178">
        <v>90</v>
      </c>
      <c r="D307" s="179">
        <v>46295</v>
      </c>
      <c r="E307" s="177" t="s">
        <v>550</v>
      </c>
      <c r="F307" s="178">
        <v>24</v>
      </c>
      <c r="G307" s="180"/>
      <c r="H307" s="178">
        <v>0</v>
      </c>
    </row>
    <row r="308" spans="1:8" ht="20.399999999999999" x14ac:dyDescent="0.3">
      <c r="A308" s="177" t="s">
        <v>109</v>
      </c>
      <c r="B308" s="177" t="s">
        <v>685</v>
      </c>
      <c r="C308" s="178">
        <v>284</v>
      </c>
      <c r="D308" s="179">
        <v>46296</v>
      </c>
      <c r="E308" s="177" t="s">
        <v>550</v>
      </c>
      <c r="F308" s="178">
        <v>3</v>
      </c>
      <c r="G308" s="178">
        <v>38</v>
      </c>
      <c r="H308" s="180"/>
    </row>
    <row r="309" spans="1:8" ht="20.399999999999999" x14ac:dyDescent="0.3">
      <c r="A309" s="177" t="s">
        <v>718</v>
      </c>
      <c r="B309" s="177" t="s">
        <v>609</v>
      </c>
      <c r="C309" s="178">
        <v>4</v>
      </c>
      <c r="D309" s="179">
        <v>46296</v>
      </c>
      <c r="E309" s="177" t="s">
        <v>550</v>
      </c>
      <c r="F309" s="178">
        <v>10</v>
      </c>
      <c r="G309" s="178">
        <v>26</v>
      </c>
      <c r="H309" s="180"/>
    </row>
    <row r="310" spans="1:8" ht="20.399999999999999" x14ac:dyDescent="0.3">
      <c r="A310" s="177" t="s">
        <v>109</v>
      </c>
      <c r="B310" s="177" t="s">
        <v>662</v>
      </c>
      <c r="C310" s="178">
        <v>368</v>
      </c>
      <c r="D310" s="179">
        <v>46296</v>
      </c>
      <c r="E310" s="177" t="s">
        <v>550</v>
      </c>
      <c r="F310" s="178">
        <v>5</v>
      </c>
      <c r="G310" s="180"/>
      <c r="H310" s="180"/>
    </row>
    <row r="311" spans="1:8" ht="20.399999999999999" x14ac:dyDescent="0.3">
      <c r="A311" s="177" t="s">
        <v>719</v>
      </c>
      <c r="B311" s="177" t="s">
        <v>614</v>
      </c>
      <c r="C311" s="178">
        <v>68</v>
      </c>
      <c r="D311" s="179">
        <v>46299</v>
      </c>
      <c r="E311" s="177" t="s">
        <v>550</v>
      </c>
      <c r="F311" s="178">
        <v>8</v>
      </c>
      <c r="G311" s="180"/>
      <c r="H311" s="178">
        <v>0</v>
      </c>
    </row>
    <row r="312" spans="1:8" ht="20.399999999999999" x14ac:dyDescent="0.3">
      <c r="A312" s="177" t="s">
        <v>719</v>
      </c>
      <c r="B312" s="177" t="s">
        <v>614</v>
      </c>
      <c r="C312" s="178">
        <v>70</v>
      </c>
      <c r="D312" s="179">
        <v>46299</v>
      </c>
      <c r="E312" s="177" t="s">
        <v>550</v>
      </c>
      <c r="F312" s="178">
        <v>4</v>
      </c>
      <c r="G312" s="180"/>
      <c r="H312" s="178">
        <v>0</v>
      </c>
    </row>
    <row r="313" spans="1:8" ht="20.399999999999999" x14ac:dyDescent="0.3">
      <c r="A313" s="177" t="s">
        <v>719</v>
      </c>
      <c r="B313" s="177" t="s">
        <v>603</v>
      </c>
      <c r="C313" s="178">
        <v>128</v>
      </c>
      <c r="D313" s="179">
        <v>46299</v>
      </c>
      <c r="E313" s="177" t="s">
        <v>550</v>
      </c>
      <c r="F313" s="178">
        <v>1</v>
      </c>
      <c r="G313" s="178">
        <v>5</v>
      </c>
      <c r="H313" s="178">
        <v>0</v>
      </c>
    </row>
    <row r="314" spans="1:8" ht="20.399999999999999" x14ac:dyDescent="0.3">
      <c r="A314" s="177" t="s">
        <v>720</v>
      </c>
      <c r="B314" s="177" t="s">
        <v>685</v>
      </c>
      <c r="C314" s="178">
        <v>104</v>
      </c>
      <c r="D314" s="179">
        <v>46299</v>
      </c>
      <c r="E314" s="177" t="s">
        <v>550</v>
      </c>
      <c r="F314" s="178">
        <v>7</v>
      </c>
      <c r="G314" s="178">
        <v>4</v>
      </c>
      <c r="H314" s="180"/>
    </row>
    <row r="315" spans="1:8" ht="20.399999999999999" x14ac:dyDescent="0.3">
      <c r="A315" s="177" t="s">
        <v>720</v>
      </c>
      <c r="B315" s="177" t="s">
        <v>685</v>
      </c>
      <c r="C315" s="178">
        <v>110</v>
      </c>
      <c r="D315" s="179">
        <v>46299</v>
      </c>
      <c r="E315" s="177" t="s">
        <v>550</v>
      </c>
      <c r="F315" s="178">
        <v>3</v>
      </c>
      <c r="G315" s="178">
        <v>34</v>
      </c>
      <c r="H315" s="180"/>
    </row>
    <row r="316" spans="1:8" ht="20.399999999999999" x14ac:dyDescent="0.3">
      <c r="A316" s="177" t="s">
        <v>720</v>
      </c>
      <c r="B316" s="177" t="s">
        <v>686</v>
      </c>
      <c r="C316" s="178">
        <v>240</v>
      </c>
      <c r="D316" s="179">
        <v>46299</v>
      </c>
      <c r="E316" s="177" t="s">
        <v>550</v>
      </c>
      <c r="F316" s="178">
        <v>5</v>
      </c>
      <c r="G316" s="180"/>
      <c r="H316" s="180"/>
    </row>
    <row r="317" spans="1:8" ht="20.399999999999999" x14ac:dyDescent="0.3">
      <c r="A317" s="177" t="s">
        <v>721</v>
      </c>
      <c r="B317" s="177" t="s">
        <v>686</v>
      </c>
      <c r="C317" s="178">
        <v>210</v>
      </c>
      <c r="D317" s="179">
        <v>46300</v>
      </c>
      <c r="E317" s="177" t="s">
        <v>550</v>
      </c>
      <c r="F317" s="178">
        <v>1</v>
      </c>
      <c r="G317" s="180"/>
      <c r="H317" s="180"/>
    </row>
    <row r="318" spans="1:8" ht="20.399999999999999" x14ac:dyDescent="0.3">
      <c r="A318" s="177" t="s">
        <v>118</v>
      </c>
      <c r="B318" s="177" t="s">
        <v>582</v>
      </c>
      <c r="C318" s="178">
        <v>382</v>
      </c>
      <c r="D318" s="179">
        <v>46300</v>
      </c>
      <c r="E318" s="177" t="s">
        <v>550</v>
      </c>
      <c r="F318" s="178">
        <v>6</v>
      </c>
      <c r="G318" s="180"/>
      <c r="H318" s="180"/>
    </row>
    <row r="319" spans="1:8" ht="20.399999999999999" x14ac:dyDescent="0.3">
      <c r="A319" s="177" t="s">
        <v>117</v>
      </c>
      <c r="B319" s="177" t="s">
        <v>582</v>
      </c>
      <c r="C319" s="178">
        <v>360</v>
      </c>
      <c r="D319" s="179">
        <v>46300</v>
      </c>
      <c r="E319" s="177" t="s">
        <v>550</v>
      </c>
      <c r="F319" s="178">
        <v>12</v>
      </c>
      <c r="G319" s="180"/>
      <c r="H319" s="180"/>
    </row>
    <row r="320" spans="1:8" ht="20.399999999999999" x14ac:dyDescent="0.3">
      <c r="A320" s="177" t="s">
        <v>292</v>
      </c>
      <c r="B320" s="177" t="s">
        <v>582</v>
      </c>
      <c r="C320" s="178">
        <v>288</v>
      </c>
      <c r="D320" s="179">
        <v>46300</v>
      </c>
      <c r="E320" s="177" t="s">
        <v>550</v>
      </c>
      <c r="F320" s="178">
        <v>1</v>
      </c>
      <c r="G320" s="180"/>
      <c r="H320" s="180"/>
    </row>
    <row r="321" spans="1:8" ht="20.399999999999999" x14ac:dyDescent="0.3">
      <c r="A321" s="177" t="s">
        <v>722</v>
      </c>
      <c r="B321" s="177" t="s">
        <v>723</v>
      </c>
      <c r="C321" s="178">
        <v>8</v>
      </c>
      <c r="D321" s="179">
        <v>46300</v>
      </c>
      <c r="E321" s="177" t="s">
        <v>550</v>
      </c>
      <c r="F321" s="178">
        <v>1</v>
      </c>
      <c r="G321" s="180"/>
      <c r="H321" s="180"/>
    </row>
    <row r="322" spans="1:8" ht="20.399999999999999" x14ac:dyDescent="0.3">
      <c r="A322" s="177" t="s">
        <v>58</v>
      </c>
      <c r="B322" s="177" t="s">
        <v>661</v>
      </c>
      <c r="C322" s="178">
        <v>356</v>
      </c>
      <c r="D322" s="179">
        <v>46300</v>
      </c>
      <c r="E322" s="177" t="s">
        <v>550</v>
      </c>
      <c r="F322" s="178">
        <v>4</v>
      </c>
      <c r="G322" s="178">
        <v>8</v>
      </c>
      <c r="H322" s="180"/>
    </row>
    <row r="323" spans="1:8" ht="20.399999999999999" x14ac:dyDescent="0.3">
      <c r="A323" s="177" t="s">
        <v>58</v>
      </c>
      <c r="B323" s="177" t="s">
        <v>696</v>
      </c>
      <c r="C323" s="178">
        <v>10</v>
      </c>
      <c r="D323" s="179">
        <v>46300</v>
      </c>
      <c r="E323" s="177" t="s">
        <v>550</v>
      </c>
      <c r="F323" s="178">
        <v>1</v>
      </c>
      <c r="G323" s="178">
        <v>7</v>
      </c>
      <c r="H323" s="180"/>
    </row>
    <row r="324" spans="1:8" ht="20.399999999999999" x14ac:dyDescent="0.3">
      <c r="A324" s="177" t="s">
        <v>58</v>
      </c>
      <c r="B324" s="177" t="s">
        <v>649</v>
      </c>
      <c r="C324" s="178">
        <v>130</v>
      </c>
      <c r="D324" s="179">
        <v>46300</v>
      </c>
      <c r="E324" s="177" t="s">
        <v>550</v>
      </c>
      <c r="F324" s="178">
        <v>5</v>
      </c>
      <c r="G324" s="178">
        <v>8</v>
      </c>
      <c r="H324" s="180"/>
    </row>
    <row r="325" spans="1:8" ht="20.399999999999999" x14ac:dyDescent="0.3">
      <c r="A325" s="177" t="s">
        <v>721</v>
      </c>
      <c r="B325" s="177" t="s">
        <v>649</v>
      </c>
      <c r="C325" s="178">
        <v>126</v>
      </c>
      <c r="D325" s="179">
        <v>46300</v>
      </c>
      <c r="E325" s="177" t="s">
        <v>550</v>
      </c>
      <c r="F325" s="178">
        <v>6</v>
      </c>
      <c r="G325" s="178">
        <v>8</v>
      </c>
      <c r="H325" s="180"/>
    </row>
    <row r="326" spans="1:8" ht="20.399999999999999" x14ac:dyDescent="0.3">
      <c r="A326" s="177" t="s">
        <v>108</v>
      </c>
      <c r="B326" s="177" t="s">
        <v>662</v>
      </c>
      <c r="C326" s="178">
        <v>350</v>
      </c>
      <c r="D326" s="179">
        <v>46300</v>
      </c>
      <c r="E326" s="177" t="s">
        <v>550</v>
      </c>
      <c r="F326" s="178">
        <v>5</v>
      </c>
      <c r="G326" s="178">
        <v>38</v>
      </c>
      <c r="H326" s="180"/>
    </row>
    <row r="327" spans="1:8" ht="20.399999999999999" x14ac:dyDescent="0.3">
      <c r="A327" s="177" t="s">
        <v>115</v>
      </c>
      <c r="B327" s="177" t="s">
        <v>634</v>
      </c>
      <c r="C327" s="178">
        <v>50</v>
      </c>
      <c r="D327" s="179">
        <v>46300</v>
      </c>
      <c r="E327" s="177" t="s">
        <v>550</v>
      </c>
      <c r="F327" s="178">
        <v>12</v>
      </c>
      <c r="G327" s="180"/>
      <c r="H327" s="180"/>
    </row>
    <row r="328" spans="1:8" ht="20.399999999999999" x14ac:dyDescent="0.3">
      <c r="A328" s="177" t="s">
        <v>724</v>
      </c>
      <c r="B328" s="177" t="s">
        <v>662</v>
      </c>
      <c r="C328" s="178">
        <v>126</v>
      </c>
      <c r="D328" s="179">
        <v>46301</v>
      </c>
      <c r="E328" s="177" t="s">
        <v>550</v>
      </c>
      <c r="F328" s="178">
        <v>5</v>
      </c>
      <c r="G328" s="180"/>
      <c r="H328" s="180"/>
    </row>
    <row r="329" spans="1:8" ht="20.399999999999999" x14ac:dyDescent="0.3">
      <c r="A329" s="177" t="s">
        <v>724</v>
      </c>
      <c r="B329" s="177" t="s">
        <v>649</v>
      </c>
      <c r="C329" s="178">
        <v>340</v>
      </c>
      <c r="D329" s="179">
        <v>46301</v>
      </c>
      <c r="E329" s="177" t="s">
        <v>550</v>
      </c>
      <c r="F329" s="178">
        <v>9</v>
      </c>
      <c r="G329" s="178">
        <v>48</v>
      </c>
      <c r="H329" s="180"/>
    </row>
    <row r="330" spans="1:8" ht="20.399999999999999" x14ac:dyDescent="0.3">
      <c r="A330" s="177" t="s">
        <v>437</v>
      </c>
      <c r="B330" s="177" t="s">
        <v>695</v>
      </c>
      <c r="C330" s="178">
        <v>20</v>
      </c>
      <c r="D330" s="179">
        <v>46303</v>
      </c>
      <c r="E330" s="177" t="s">
        <v>550</v>
      </c>
      <c r="F330" s="178">
        <v>12</v>
      </c>
      <c r="G330" s="180"/>
      <c r="H330" s="178">
        <v>3</v>
      </c>
    </row>
    <row r="331" spans="1:8" ht="20.399999999999999" x14ac:dyDescent="0.3">
      <c r="A331" s="177" t="s">
        <v>680</v>
      </c>
      <c r="B331" s="177" t="s">
        <v>695</v>
      </c>
      <c r="C331" s="178">
        <v>44</v>
      </c>
      <c r="D331" s="179">
        <v>46303</v>
      </c>
      <c r="E331" s="177" t="s">
        <v>550</v>
      </c>
      <c r="F331" s="178">
        <v>48</v>
      </c>
      <c r="G331" s="180"/>
      <c r="H331" s="180"/>
    </row>
    <row r="332" spans="1:8" ht="20.399999999999999" x14ac:dyDescent="0.3">
      <c r="A332" s="177" t="s">
        <v>75</v>
      </c>
      <c r="B332" s="177" t="s">
        <v>662</v>
      </c>
      <c r="C332" s="178">
        <v>404</v>
      </c>
      <c r="D332" s="179">
        <v>46303</v>
      </c>
      <c r="E332" s="177" t="s">
        <v>550</v>
      </c>
      <c r="F332" s="178">
        <v>12</v>
      </c>
      <c r="G332" s="180"/>
      <c r="H332" s="178">
        <v>1</v>
      </c>
    </row>
    <row r="333" spans="1:8" ht="20.399999999999999" x14ac:dyDescent="0.3">
      <c r="A333" s="177" t="s">
        <v>725</v>
      </c>
      <c r="B333" s="177" t="s">
        <v>662</v>
      </c>
      <c r="C333" s="178">
        <v>356</v>
      </c>
      <c r="D333" s="179">
        <v>46305</v>
      </c>
      <c r="E333" s="177" t="s">
        <v>550</v>
      </c>
      <c r="F333" s="178">
        <v>3</v>
      </c>
      <c r="G333" s="178">
        <v>34</v>
      </c>
      <c r="H333" s="180"/>
    </row>
    <row r="334" spans="1:8" ht="20.399999999999999" x14ac:dyDescent="0.3">
      <c r="A334" s="177" t="s">
        <v>726</v>
      </c>
      <c r="B334" s="177" t="s">
        <v>662</v>
      </c>
      <c r="C334" s="178">
        <v>120</v>
      </c>
      <c r="D334" s="179">
        <v>46305</v>
      </c>
      <c r="E334" s="177" t="s">
        <v>550</v>
      </c>
      <c r="F334" s="178">
        <v>5</v>
      </c>
      <c r="G334" s="180"/>
      <c r="H334" s="180"/>
    </row>
    <row r="335" spans="1:8" ht="20.399999999999999" x14ac:dyDescent="0.3">
      <c r="A335" s="177" t="s">
        <v>727</v>
      </c>
      <c r="B335" s="177" t="s">
        <v>640</v>
      </c>
      <c r="C335" s="178">
        <v>6</v>
      </c>
      <c r="D335" s="179">
        <v>46305</v>
      </c>
      <c r="E335" s="177" t="s">
        <v>550</v>
      </c>
      <c r="F335" s="178">
        <v>10</v>
      </c>
      <c r="G335" s="180"/>
      <c r="H335" s="180"/>
    </row>
    <row r="336" spans="1:8" ht="20.399999999999999" x14ac:dyDescent="0.3">
      <c r="A336" s="177" t="s">
        <v>727</v>
      </c>
      <c r="B336" s="177" t="s">
        <v>640</v>
      </c>
      <c r="C336" s="178">
        <v>8</v>
      </c>
      <c r="D336" s="179">
        <v>46305</v>
      </c>
      <c r="E336" s="177" t="s">
        <v>550</v>
      </c>
      <c r="F336" s="178">
        <v>11</v>
      </c>
      <c r="G336" s="180"/>
      <c r="H336" s="180"/>
    </row>
    <row r="337" spans="1:8" ht="20.399999999999999" x14ac:dyDescent="0.3">
      <c r="A337" s="177" t="s">
        <v>726</v>
      </c>
      <c r="B337" s="177" t="s">
        <v>653</v>
      </c>
      <c r="C337" s="178">
        <v>38</v>
      </c>
      <c r="D337" s="179">
        <v>46305</v>
      </c>
      <c r="E337" s="177" t="s">
        <v>550</v>
      </c>
      <c r="F337" s="178">
        <v>5</v>
      </c>
      <c r="G337" s="178">
        <v>44</v>
      </c>
      <c r="H337" s="180"/>
    </row>
    <row r="338" spans="1:8" ht="20.399999999999999" x14ac:dyDescent="0.3">
      <c r="A338" s="177" t="s">
        <v>58</v>
      </c>
      <c r="B338" s="177" t="s">
        <v>632</v>
      </c>
      <c r="C338" s="178">
        <v>32</v>
      </c>
      <c r="D338" s="179">
        <v>46307</v>
      </c>
      <c r="E338" s="177" t="s">
        <v>550</v>
      </c>
      <c r="F338" s="178">
        <v>12</v>
      </c>
      <c r="G338" s="180"/>
      <c r="H338" s="180"/>
    </row>
    <row r="339" spans="1:8" ht="20.399999999999999" x14ac:dyDescent="0.3">
      <c r="A339" s="177" t="s">
        <v>119</v>
      </c>
      <c r="B339" s="177" t="s">
        <v>686</v>
      </c>
      <c r="C339" s="178">
        <v>206</v>
      </c>
      <c r="D339" s="179">
        <v>46307</v>
      </c>
      <c r="E339" s="177" t="s">
        <v>550</v>
      </c>
      <c r="F339" s="178">
        <v>5</v>
      </c>
      <c r="G339" s="180"/>
      <c r="H339" s="180"/>
    </row>
    <row r="340" spans="1:8" ht="20.399999999999999" x14ac:dyDescent="0.3">
      <c r="A340" s="177" t="s">
        <v>148</v>
      </c>
      <c r="B340" s="177" t="s">
        <v>686</v>
      </c>
      <c r="C340" s="178">
        <v>208</v>
      </c>
      <c r="D340" s="179">
        <v>46307</v>
      </c>
      <c r="E340" s="177" t="s">
        <v>550</v>
      </c>
      <c r="F340" s="178">
        <v>5</v>
      </c>
      <c r="G340" s="180"/>
      <c r="H340" s="180"/>
    </row>
    <row r="341" spans="1:8" ht="20.399999999999999" x14ac:dyDescent="0.3">
      <c r="A341" s="177" t="s">
        <v>721</v>
      </c>
      <c r="B341" s="177" t="s">
        <v>686</v>
      </c>
      <c r="C341" s="178">
        <v>112</v>
      </c>
      <c r="D341" s="179">
        <v>46307</v>
      </c>
      <c r="E341" s="177" t="s">
        <v>550</v>
      </c>
      <c r="F341" s="178">
        <v>12</v>
      </c>
      <c r="G341" s="180"/>
      <c r="H341" s="180"/>
    </row>
    <row r="342" spans="1:8" ht="20.399999999999999" x14ac:dyDescent="0.3">
      <c r="A342" s="177" t="s">
        <v>119</v>
      </c>
      <c r="B342" s="177" t="s">
        <v>686</v>
      </c>
      <c r="C342" s="178">
        <v>116</v>
      </c>
      <c r="D342" s="179">
        <v>46307</v>
      </c>
      <c r="E342" s="177" t="s">
        <v>550</v>
      </c>
      <c r="F342" s="178">
        <v>12</v>
      </c>
      <c r="G342" s="180"/>
      <c r="H342" s="180"/>
    </row>
    <row r="343" spans="1:8" ht="20.399999999999999" x14ac:dyDescent="0.3">
      <c r="A343" s="177" t="s">
        <v>148</v>
      </c>
      <c r="B343" s="177" t="s">
        <v>686</v>
      </c>
      <c r="C343" s="178">
        <v>54</v>
      </c>
      <c r="D343" s="179">
        <v>46307</v>
      </c>
      <c r="E343" s="177" t="s">
        <v>550</v>
      </c>
      <c r="F343" s="178">
        <v>12</v>
      </c>
      <c r="G343" s="180"/>
      <c r="H343" s="180"/>
    </row>
    <row r="344" spans="1:8" ht="20.399999999999999" x14ac:dyDescent="0.3">
      <c r="A344" s="177" t="s">
        <v>187</v>
      </c>
      <c r="B344" s="177" t="s">
        <v>686</v>
      </c>
      <c r="C344" s="178">
        <v>92</v>
      </c>
      <c r="D344" s="179">
        <v>46307</v>
      </c>
      <c r="E344" s="177" t="s">
        <v>550</v>
      </c>
      <c r="F344" s="178">
        <v>12</v>
      </c>
      <c r="G344" s="180"/>
      <c r="H344" s="180"/>
    </row>
    <row r="345" spans="1:8" ht="20.399999999999999" x14ac:dyDescent="0.3">
      <c r="A345" s="177" t="s">
        <v>189</v>
      </c>
      <c r="B345" s="177" t="s">
        <v>686</v>
      </c>
      <c r="C345" s="178">
        <v>96</v>
      </c>
      <c r="D345" s="179">
        <v>46307</v>
      </c>
      <c r="E345" s="177" t="s">
        <v>550</v>
      </c>
      <c r="F345" s="178">
        <v>12</v>
      </c>
      <c r="G345" s="180"/>
      <c r="H345" s="180"/>
    </row>
    <row r="346" spans="1:8" ht="20.399999999999999" x14ac:dyDescent="0.3">
      <c r="A346" s="177" t="s">
        <v>273</v>
      </c>
      <c r="B346" s="177" t="s">
        <v>662</v>
      </c>
      <c r="C346" s="178">
        <v>362</v>
      </c>
      <c r="D346" s="179">
        <v>46307</v>
      </c>
      <c r="E346" s="177" t="s">
        <v>550</v>
      </c>
      <c r="F346" s="178">
        <v>0</v>
      </c>
      <c r="G346" s="180"/>
      <c r="H346" s="180"/>
    </row>
    <row r="347" spans="1:8" ht="20.399999999999999" x14ac:dyDescent="0.3">
      <c r="A347" s="177" t="s">
        <v>728</v>
      </c>
      <c r="B347" s="177" t="s">
        <v>682</v>
      </c>
      <c r="C347" s="178">
        <v>10</v>
      </c>
      <c r="D347" s="179">
        <v>46307</v>
      </c>
      <c r="E347" s="177" t="s">
        <v>550</v>
      </c>
      <c r="F347" s="178">
        <v>12</v>
      </c>
      <c r="G347" s="180"/>
      <c r="H347" s="180"/>
    </row>
    <row r="348" spans="1:8" ht="20.399999999999999" x14ac:dyDescent="0.3">
      <c r="A348" s="177" t="s">
        <v>714</v>
      </c>
      <c r="B348" s="177" t="s">
        <v>686</v>
      </c>
      <c r="C348" s="178">
        <v>14</v>
      </c>
      <c r="D348" s="179">
        <v>46307</v>
      </c>
      <c r="E348" s="177" t="s">
        <v>550</v>
      </c>
      <c r="F348" s="178">
        <v>12</v>
      </c>
      <c r="G348" s="180"/>
      <c r="H348" s="180"/>
    </row>
    <row r="349" spans="1:8" ht="20.399999999999999" x14ac:dyDescent="0.3">
      <c r="A349" s="177" t="s">
        <v>99</v>
      </c>
      <c r="B349" s="177" t="s">
        <v>686</v>
      </c>
      <c r="C349" s="178">
        <v>22</v>
      </c>
      <c r="D349" s="179">
        <v>46307</v>
      </c>
      <c r="E349" s="177" t="s">
        <v>550</v>
      </c>
      <c r="F349" s="178">
        <v>4</v>
      </c>
      <c r="G349" s="180"/>
      <c r="H349" s="180"/>
    </row>
    <row r="350" spans="1:8" ht="20.399999999999999" x14ac:dyDescent="0.3">
      <c r="A350" s="177" t="s">
        <v>99</v>
      </c>
      <c r="B350" s="177" t="s">
        <v>661</v>
      </c>
      <c r="C350" s="178">
        <v>278</v>
      </c>
      <c r="D350" s="179">
        <v>46307</v>
      </c>
      <c r="E350" s="177" t="s">
        <v>550</v>
      </c>
      <c r="F350" s="178">
        <v>5</v>
      </c>
      <c r="G350" s="180"/>
      <c r="H350" s="180"/>
    </row>
    <row r="351" spans="1:8" ht="20.399999999999999" x14ac:dyDescent="0.3">
      <c r="A351" s="177" t="s">
        <v>92</v>
      </c>
      <c r="B351" s="177" t="s">
        <v>631</v>
      </c>
      <c r="C351" s="178">
        <v>206</v>
      </c>
      <c r="D351" s="179">
        <v>46307</v>
      </c>
      <c r="E351" s="177" t="s">
        <v>550</v>
      </c>
      <c r="F351" s="178">
        <v>2</v>
      </c>
      <c r="G351" s="180"/>
      <c r="H351" s="180"/>
    </row>
    <row r="352" spans="1:8" ht="20.399999999999999" x14ac:dyDescent="0.3">
      <c r="A352" s="177" t="s">
        <v>67</v>
      </c>
      <c r="B352" s="177" t="s">
        <v>729</v>
      </c>
      <c r="C352" s="178">
        <v>2</v>
      </c>
      <c r="D352" s="179">
        <v>46309</v>
      </c>
      <c r="E352" s="177" t="s">
        <v>550</v>
      </c>
      <c r="F352" s="178">
        <v>1</v>
      </c>
      <c r="G352" s="180"/>
      <c r="H352" s="180"/>
    </row>
    <row r="353" spans="1:8" ht="20.399999999999999" x14ac:dyDescent="0.3">
      <c r="A353" s="177" t="s">
        <v>99</v>
      </c>
      <c r="B353" s="177" t="s">
        <v>686</v>
      </c>
      <c r="C353" s="178">
        <v>24</v>
      </c>
      <c r="D353" s="179">
        <v>46309</v>
      </c>
      <c r="E353" s="177" t="s">
        <v>550</v>
      </c>
      <c r="F353" s="178">
        <v>12</v>
      </c>
      <c r="G353" s="180"/>
      <c r="H353" s="180"/>
    </row>
    <row r="354" spans="1:8" ht="20.399999999999999" x14ac:dyDescent="0.3">
      <c r="A354" s="177" t="s">
        <v>726</v>
      </c>
      <c r="B354" s="177" t="s">
        <v>662</v>
      </c>
      <c r="C354" s="178">
        <v>124</v>
      </c>
      <c r="D354" s="179">
        <v>46309</v>
      </c>
      <c r="E354" s="177" t="s">
        <v>550</v>
      </c>
      <c r="F354" s="178">
        <v>12</v>
      </c>
      <c r="G354" s="180"/>
      <c r="H354" s="180"/>
    </row>
    <row r="355" spans="1:8" ht="20.399999999999999" x14ac:dyDescent="0.3">
      <c r="A355" s="177" t="s">
        <v>724</v>
      </c>
      <c r="B355" s="177" t="s">
        <v>662</v>
      </c>
      <c r="C355" s="178">
        <v>130</v>
      </c>
      <c r="D355" s="179">
        <v>46309</v>
      </c>
      <c r="E355" s="177" t="s">
        <v>550</v>
      </c>
      <c r="F355" s="178">
        <v>12</v>
      </c>
      <c r="G355" s="180"/>
      <c r="H355" s="180"/>
    </row>
    <row r="356" spans="1:8" ht="20.399999999999999" x14ac:dyDescent="0.3">
      <c r="A356" s="177" t="s">
        <v>121</v>
      </c>
      <c r="B356" s="177" t="s">
        <v>662</v>
      </c>
      <c r="C356" s="178">
        <v>88</v>
      </c>
      <c r="D356" s="179">
        <v>46309</v>
      </c>
      <c r="E356" s="177" t="s">
        <v>550</v>
      </c>
      <c r="F356" s="178">
        <v>12</v>
      </c>
      <c r="G356" s="180"/>
      <c r="H356" s="180"/>
    </row>
    <row r="357" spans="1:8" ht="20.399999999999999" x14ac:dyDescent="0.3">
      <c r="A357" s="177" t="s">
        <v>683</v>
      </c>
      <c r="B357" s="177" t="s">
        <v>662</v>
      </c>
      <c r="C357" s="178">
        <v>100</v>
      </c>
      <c r="D357" s="179">
        <v>46309</v>
      </c>
      <c r="E357" s="177" t="s">
        <v>550</v>
      </c>
      <c r="F357" s="178">
        <v>12</v>
      </c>
      <c r="G357" s="180"/>
      <c r="H357" s="180"/>
    </row>
    <row r="358" spans="1:8" ht="20.399999999999999" x14ac:dyDescent="0.3">
      <c r="A358" s="177" t="s">
        <v>720</v>
      </c>
      <c r="B358" s="177" t="s">
        <v>662</v>
      </c>
      <c r="C358" s="178">
        <v>220</v>
      </c>
      <c r="D358" s="179">
        <v>46309</v>
      </c>
      <c r="E358" s="177" t="s">
        <v>550</v>
      </c>
      <c r="F358" s="178">
        <v>12</v>
      </c>
      <c r="G358" s="180"/>
      <c r="H358" s="180"/>
    </row>
    <row r="359" spans="1:8" ht="20.399999999999999" x14ac:dyDescent="0.3">
      <c r="A359" s="177" t="s">
        <v>331</v>
      </c>
      <c r="B359" s="177" t="s">
        <v>662</v>
      </c>
      <c r="C359" s="178">
        <v>56</v>
      </c>
      <c r="D359" s="179">
        <v>46309</v>
      </c>
      <c r="E359" s="177" t="s">
        <v>550</v>
      </c>
      <c r="F359" s="178">
        <v>16</v>
      </c>
      <c r="G359" s="180"/>
      <c r="H359" s="178">
        <v>1</v>
      </c>
    </row>
    <row r="360" spans="1:8" ht="20.399999999999999" x14ac:dyDescent="0.3">
      <c r="A360" s="177" t="s">
        <v>95</v>
      </c>
      <c r="B360" s="177" t="s">
        <v>662</v>
      </c>
      <c r="C360" s="178">
        <v>340</v>
      </c>
      <c r="D360" s="179">
        <v>46310</v>
      </c>
      <c r="E360" s="177" t="s">
        <v>550</v>
      </c>
      <c r="F360" s="178">
        <v>12</v>
      </c>
      <c r="G360" s="178">
        <v>46</v>
      </c>
      <c r="H360" s="180"/>
    </row>
    <row r="361" spans="1:8" ht="20.399999999999999" x14ac:dyDescent="0.3">
      <c r="A361" s="177" t="s">
        <v>196</v>
      </c>
      <c r="B361" s="177" t="s">
        <v>658</v>
      </c>
      <c r="C361" s="178">
        <v>376</v>
      </c>
      <c r="D361" s="179">
        <v>46310</v>
      </c>
      <c r="E361" s="177" t="s">
        <v>550</v>
      </c>
      <c r="F361" s="178">
        <v>8</v>
      </c>
      <c r="G361" s="180"/>
      <c r="H361" s="180"/>
    </row>
    <row r="362" spans="1:8" ht="20.399999999999999" x14ac:dyDescent="0.3">
      <c r="A362" s="177" t="s">
        <v>213</v>
      </c>
      <c r="B362" s="177" t="s">
        <v>658</v>
      </c>
      <c r="C362" s="178">
        <v>238</v>
      </c>
      <c r="D362" s="179">
        <v>46310</v>
      </c>
      <c r="E362" s="177" t="s">
        <v>550</v>
      </c>
      <c r="F362" s="178">
        <v>12</v>
      </c>
      <c r="G362" s="178">
        <v>54</v>
      </c>
      <c r="H362" s="180"/>
    </row>
    <row r="363" spans="1:8" ht="20.399999999999999" x14ac:dyDescent="0.3">
      <c r="A363" s="177" t="s">
        <v>209</v>
      </c>
      <c r="B363" s="177" t="s">
        <v>686</v>
      </c>
      <c r="C363" s="178">
        <v>142</v>
      </c>
      <c r="D363" s="179">
        <v>46310</v>
      </c>
      <c r="E363" s="177" t="s">
        <v>550</v>
      </c>
      <c r="F363" s="178">
        <v>12</v>
      </c>
      <c r="G363" s="180"/>
      <c r="H363" s="180"/>
    </row>
    <row r="364" spans="1:8" ht="20.399999999999999" x14ac:dyDescent="0.3">
      <c r="A364" s="177" t="s">
        <v>209</v>
      </c>
      <c r="B364" s="177" t="s">
        <v>686</v>
      </c>
      <c r="C364" s="178">
        <v>190</v>
      </c>
      <c r="D364" s="179">
        <v>46310</v>
      </c>
      <c r="E364" s="177" t="s">
        <v>550</v>
      </c>
      <c r="F364" s="178">
        <v>3</v>
      </c>
      <c r="G364" s="178">
        <v>18</v>
      </c>
      <c r="H364" s="180"/>
    </row>
    <row r="365" spans="1:8" ht="20.399999999999999" x14ac:dyDescent="0.3">
      <c r="A365" s="177" t="s">
        <v>95</v>
      </c>
      <c r="B365" s="177" t="s">
        <v>662</v>
      </c>
      <c r="C365" s="178">
        <v>342</v>
      </c>
      <c r="D365" s="179">
        <v>46311</v>
      </c>
      <c r="E365" s="177" t="s">
        <v>550</v>
      </c>
      <c r="F365" s="178">
        <v>12</v>
      </c>
      <c r="G365" s="178">
        <v>46</v>
      </c>
      <c r="H365" s="180"/>
    </row>
    <row r="366" spans="1:8" x14ac:dyDescent="0.3">
      <c r="A366" s="177" t="s">
        <v>439</v>
      </c>
      <c r="B366" s="177" t="s">
        <v>650</v>
      </c>
      <c r="C366" s="178">
        <v>50</v>
      </c>
      <c r="D366" s="179">
        <v>46313</v>
      </c>
      <c r="E366" s="177" t="s">
        <v>550</v>
      </c>
      <c r="F366" s="178">
        <v>12</v>
      </c>
      <c r="G366" s="180"/>
      <c r="H366" s="178">
        <v>0</v>
      </c>
    </row>
    <row r="367" spans="1:8" ht="20.399999999999999" x14ac:dyDescent="0.3">
      <c r="A367" s="177" t="s">
        <v>107</v>
      </c>
      <c r="B367" s="177" t="s">
        <v>686</v>
      </c>
      <c r="C367" s="178">
        <v>146</v>
      </c>
      <c r="D367" s="179">
        <v>46313</v>
      </c>
      <c r="E367" s="177" t="s">
        <v>550</v>
      </c>
      <c r="F367" s="178">
        <v>12</v>
      </c>
      <c r="G367" s="178">
        <v>50</v>
      </c>
      <c r="H367" s="180"/>
    </row>
    <row r="368" spans="1:8" x14ac:dyDescent="0.3">
      <c r="A368" s="177" t="s">
        <v>730</v>
      </c>
      <c r="B368" s="177" t="s">
        <v>667</v>
      </c>
      <c r="C368" s="178">
        <v>26</v>
      </c>
      <c r="D368" s="179">
        <v>46314</v>
      </c>
      <c r="E368" s="177" t="s">
        <v>550</v>
      </c>
      <c r="F368" s="178">
        <v>1</v>
      </c>
      <c r="G368" s="180"/>
      <c r="H368" s="180"/>
    </row>
    <row r="369" spans="1:8" x14ac:dyDescent="0.3">
      <c r="A369" s="177" t="s">
        <v>730</v>
      </c>
      <c r="B369" s="177" t="s">
        <v>667</v>
      </c>
      <c r="C369" s="178">
        <v>28</v>
      </c>
      <c r="D369" s="179">
        <v>46314</v>
      </c>
      <c r="E369" s="177" t="s">
        <v>550</v>
      </c>
      <c r="F369" s="178">
        <v>2</v>
      </c>
      <c r="G369" s="178">
        <v>40</v>
      </c>
      <c r="H369" s="180"/>
    </row>
    <row r="370" spans="1:8" ht="20.399999999999999" x14ac:dyDescent="0.3">
      <c r="A370" s="177" t="s">
        <v>731</v>
      </c>
      <c r="B370" s="177" t="s">
        <v>685</v>
      </c>
      <c r="C370" s="178">
        <v>346</v>
      </c>
      <c r="D370" s="179">
        <v>46315</v>
      </c>
      <c r="E370" s="177" t="s">
        <v>550</v>
      </c>
      <c r="F370" s="178">
        <v>3</v>
      </c>
      <c r="G370" s="180"/>
      <c r="H370" s="180"/>
    </row>
    <row r="371" spans="1:8" ht="20.399999999999999" x14ac:dyDescent="0.3">
      <c r="A371" s="177" t="s">
        <v>144</v>
      </c>
      <c r="B371" s="177" t="s">
        <v>662</v>
      </c>
      <c r="C371" s="178">
        <v>330</v>
      </c>
      <c r="D371" s="179">
        <v>46315</v>
      </c>
      <c r="E371" s="177" t="s">
        <v>550</v>
      </c>
      <c r="F371" s="178">
        <v>12</v>
      </c>
      <c r="G371" s="180"/>
      <c r="H371" s="180"/>
    </row>
    <row r="372" spans="1:8" ht="20.399999999999999" x14ac:dyDescent="0.3">
      <c r="A372" s="177" t="s">
        <v>308</v>
      </c>
      <c r="B372" s="177" t="s">
        <v>662</v>
      </c>
      <c r="C372" s="178">
        <v>274</v>
      </c>
      <c r="D372" s="179">
        <v>46315</v>
      </c>
      <c r="E372" s="177" t="s">
        <v>550</v>
      </c>
      <c r="F372" s="178">
        <v>12</v>
      </c>
      <c r="G372" s="178">
        <v>46</v>
      </c>
      <c r="H372" s="180"/>
    </row>
    <row r="373" spans="1:8" ht="20.399999999999999" x14ac:dyDescent="0.3">
      <c r="A373" s="177" t="s">
        <v>731</v>
      </c>
      <c r="B373" s="177" t="s">
        <v>686</v>
      </c>
      <c r="C373" s="178">
        <v>242</v>
      </c>
      <c r="D373" s="179">
        <v>46315</v>
      </c>
      <c r="E373" s="177" t="s">
        <v>550</v>
      </c>
      <c r="F373" s="178">
        <v>11</v>
      </c>
      <c r="G373" s="180"/>
      <c r="H373" s="180"/>
    </row>
    <row r="374" spans="1:8" ht="20.399999999999999" x14ac:dyDescent="0.3">
      <c r="A374" s="177" t="s">
        <v>58</v>
      </c>
      <c r="B374" s="177" t="s">
        <v>632</v>
      </c>
      <c r="C374" s="178">
        <v>36</v>
      </c>
      <c r="D374" s="179">
        <v>46315</v>
      </c>
      <c r="E374" s="177" t="s">
        <v>550</v>
      </c>
      <c r="F374" s="178">
        <v>1</v>
      </c>
      <c r="G374" s="180"/>
      <c r="H374" s="180"/>
    </row>
    <row r="375" spans="1:8" ht="20.399999999999999" x14ac:dyDescent="0.3">
      <c r="A375" s="177" t="s">
        <v>247</v>
      </c>
      <c r="B375" s="177" t="s">
        <v>662</v>
      </c>
      <c r="C375" s="178">
        <v>272</v>
      </c>
      <c r="D375" s="179">
        <v>46317</v>
      </c>
      <c r="E375" s="177" t="s">
        <v>550</v>
      </c>
      <c r="F375" s="178">
        <v>12</v>
      </c>
      <c r="G375" s="178">
        <v>50</v>
      </c>
      <c r="H375" s="180"/>
    </row>
    <row r="376" spans="1:8" ht="20.399999999999999" x14ac:dyDescent="0.3">
      <c r="A376" s="177" t="s">
        <v>77</v>
      </c>
      <c r="B376" s="177" t="s">
        <v>662</v>
      </c>
      <c r="C376" s="178">
        <v>20</v>
      </c>
      <c r="D376" s="179">
        <v>46317</v>
      </c>
      <c r="E376" s="177" t="s">
        <v>550</v>
      </c>
      <c r="F376" s="178">
        <v>12</v>
      </c>
      <c r="G376" s="180"/>
      <c r="H376" s="180"/>
    </row>
    <row r="377" spans="1:8" ht="20.399999999999999" x14ac:dyDescent="0.3">
      <c r="A377" s="177" t="s">
        <v>221</v>
      </c>
      <c r="B377" s="177" t="s">
        <v>669</v>
      </c>
      <c r="C377" s="178">
        <v>62</v>
      </c>
      <c r="D377" s="179">
        <v>46317</v>
      </c>
      <c r="E377" s="177" t="s">
        <v>550</v>
      </c>
      <c r="F377" s="178">
        <v>4</v>
      </c>
      <c r="G377" s="178">
        <v>24</v>
      </c>
      <c r="H377" s="180"/>
    </row>
    <row r="378" spans="1:8" ht="20.399999999999999" x14ac:dyDescent="0.3">
      <c r="A378" s="177" t="s">
        <v>273</v>
      </c>
      <c r="B378" s="177" t="s">
        <v>662</v>
      </c>
      <c r="C378" s="178">
        <v>364</v>
      </c>
      <c r="D378" s="179">
        <v>46317</v>
      </c>
      <c r="E378" s="177" t="s">
        <v>550</v>
      </c>
      <c r="F378" s="178">
        <v>12</v>
      </c>
      <c r="G378" s="178">
        <v>30</v>
      </c>
      <c r="H378" s="180"/>
    </row>
    <row r="379" spans="1:8" ht="20.399999999999999" x14ac:dyDescent="0.3">
      <c r="A379" s="177" t="s">
        <v>619</v>
      </c>
      <c r="B379" s="177" t="s">
        <v>662</v>
      </c>
      <c r="C379" s="178">
        <v>400</v>
      </c>
      <c r="D379" s="179">
        <v>46317</v>
      </c>
      <c r="E379" s="177" t="s">
        <v>550</v>
      </c>
      <c r="F379" s="178">
        <v>12</v>
      </c>
      <c r="G379" s="180"/>
      <c r="H379" s="180"/>
    </row>
    <row r="380" spans="1:8" ht="20.399999999999999" x14ac:dyDescent="0.3">
      <c r="A380" s="177" t="s">
        <v>725</v>
      </c>
      <c r="B380" s="177" t="s">
        <v>662</v>
      </c>
      <c r="C380" s="178">
        <v>358</v>
      </c>
      <c r="D380" s="179">
        <v>46317</v>
      </c>
      <c r="E380" s="177" t="s">
        <v>550</v>
      </c>
      <c r="F380" s="178">
        <v>12</v>
      </c>
      <c r="G380" s="180"/>
      <c r="H380" s="180"/>
    </row>
    <row r="381" spans="1:8" ht="20.399999999999999" x14ac:dyDescent="0.3">
      <c r="A381" s="177" t="s">
        <v>108</v>
      </c>
      <c r="B381" s="177" t="s">
        <v>662</v>
      </c>
      <c r="C381" s="178">
        <v>352</v>
      </c>
      <c r="D381" s="179">
        <v>46317</v>
      </c>
      <c r="E381" s="177" t="s">
        <v>550</v>
      </c>
      <c r="F381" s="178">
        <v>12</v>
      </c>
      <c r="G381" s="180"/>
      <c r="H381" s="180"/>
    </row>
    <row r="382" spans="1:8" ht="20.399999999999999" x14ac:dyDescent="0.3">
      <c r="A382" s="177" t="s">
        <v>109</v>
      </c>
      <c r="B382" s="177" t="s">
        <v>662</v>
      </c>
      <c r="C382" s="178">
        <v>370</v>
      </c>
      <c r="D382" s="179">
        <v>46317</v>
      </c>
      <c r="E382" s="177" t="s">
        <v>550</v>
      </c>
      <c r="F382" s="178">
        <v>12</v>
      </c>
      <c r="G382" s="180"/>
      <c r="H382" s="180"/>
    </row>
    <row r="383" spans="1:8" ht="20.399999999999999" x14ac:dyDescent="0.3">
      <c r="A383" s="177" t="s">
        <v>156</v>
      </c>
      <c r="B383" s="177" t="s">
        <v>701</v>
      </c>
      <c r="C383" s="178">
        <v>20</v>
      </c>
      <c r="D383" s="179">
        <v>46317</v>
      </c>
      <c r="E383" s="177" t="s">
        <v>550</v>
      </c>
      <c r="F383" s="178">
        <v>4</v>
      </c>
      <c r="G383" s="180"/>
      <c r="H383" s="180"/>
    </row>
    <row r="384" spans="1:8" ht="20.399999999999999" x14ac:dyDescent="0.3">
      <c r="A384" s="177" t="s">
        <v>687</v>
      </c>
      <c r="B384" s="177" t="s">
        <v>688</v>
      </c>
      <c r="C384" s="178">
        <v>28</v>
      </c>
      <c r="D384" s="179">
        <v>46317</v>
      </c>
      <c r="E384" s="177" t="s">
        <v>550</v>
      </c>
      <c r="F384" s="178">
        <v>24</v>
      </c>
      <c r="G384" s="180"/>
      <c r="H384" s="180"/>
    </row>
    <row r="385" spans="1:8" ht="20.399999999999999" x14ac:dyDescent="0.3">
      <c r="A385" s="177" t="s">
        <v>728</v>
      </c>
      <c r="B385" s="177" t="s">
        <v>702</v>
      </c>
      <c r="C385" s="178">
        <v>20</v>
      </c>
      <c r="D385" s="179">
        <v>46319</v>
      </c>
      <c r="E385" s="177" t="s">
        <v>550</v>
      </c>
      <c r="F385" s="178">
        <v>1</v>
      </c>
      <c r="G385" s="180"/>
      <c r="H385" s="180"/>
    </row>
    <row r="386" spans="1:8" ht="20.399999999999999" x14ac:dyDescent="0.3">
      <c r="A386" s="177" t="s">
        <v>728</v>
      </c>
      <c r="B386" s="177" t="s">
        <v>685</v>
      </c>
      <c r="C386" s="178">
        <v>340</v>
      </c>
      <c r="D386" s="179">
        <v>46319</v>
      </c>
      <c r="E386" s="177" t="s">
        <v>550</v>
      </c>
      <c r="F386" s="178">
        <v>2</v>
      </c>
      <c r="G386" s="180"/>
      <c r="H386" s="180"/>
    </row>
    <row r="387" spans="1:8" ht="20.399999999999999" x14ac:dyDescent="0.3">
      <c r="A387" s="177" t="s">
        <v>728</v>
      </c>
      <c r="B387" s="177" t="s">
        <v>686</v>
      </c>
      <c r="C387" s="178">
        <v>220</v>
      </c>
      <c r="D387" s="179">
        <v>46319</v>
      </c>
      <c r="E387" s="177" t="s">
        <v>550</v>
      </c>
      <c r="F387" s="178">
        <v>1</v>
      </c>
      <c r="G387" s="180"/>
      <c r="H387" s="180"/>
    </row>
    <row r="388" spans="1:8" ht="20.399999999999999" x14ac:dyDescent="0.3">
      <c r="A388" s="177" t="s">
        <v>282</v>
      </c>
      <c r="B388" s="177" t="s">
        <v>662</v>
      </c>
      <c r="C388" s="178">
        <v>258</v>
      </c>
      <c r="D388" s="179">
        <v>46320</v>
      </c>
      <c r="E388" s="177" t="s">
        <v>550</v>
      </c>
      <c r="F388" s="178">
        <v>12</v>
      </c>
      <c r="G388" s="178">
        <v>40</v>
      </c>
      <c r="H388" s="180"/>
    </row>
    <row r="389" spans="1:8" ht="20.399999999999999" x14ac:dyDescent="0.3">
      <c r="A389" s="177" t="s">
        <v>107</v>
      </c>
      <c r="B389" s="177" t="s">
        <v>662</v>
      </c>
      <c r="C389" s="178">
        <v>264</v>
      </c>
      <c r="D389" s="179">
        <v>46320</v>
      </c>
      <c r="E389" s="177" t="s">
        <v>550</v>
      </c>
      <c r="F389" s="178">
        <v>12</v>
      </c>
      <c r="G389" s="180"/>
      <c r="H389" s="180"/>
    </row>
    <row r="390" spans="1:8" ht="20.399999999999999" x14ac:dyDescent="0.3">
      <c r="A390" s="177" t="s">
        <v>67</v>
      </c>
      <c r="B390" s="177" t="s">
        <v>662</v>
      </c>
      <c r="C390" s="178">
        <v>110</v>
      </c>
      <c r="D390" s="179">
        <v>46321</v>
      </c>
      <c r="E390" s="177" t="s">
        <v>550</v>
      </c>
      <c r="F390" s="178">
        <v>12</v>
      </c>
      <c r="G390" s="180"/>
      <c r="H390" s="180"/>
    </row>
    <row r="391" spans="1:8" ht="20.399999999999999" x14ac:dyDescent="0.3">
      <c r="A391" s="177" t="s">
        <v>193</v>
      </c>
      <c r="B391" s="177" t="s">
        <v>669</v>
      </c>
      <c r="C391" s="178">
        <v>126</v>
      </c>
      <c r="D391" s="179">
        <v>46321</v>
      </c>
      <c r="E391" s="177" t="s">
        <v>550</v>
      </c>
      <c r="F391" s="178">
        <v>8</v>
      </c>
      <c r="G391" s="180"/>
      <c r="H391" s="180"/>
    </row>
    <row r="392" spans="1:8" ht="20.399999999999999" x14ac:dyDescent="0.3">
      <c r="A392" s="177" t="s">
        <v>141</v>
      </c>
      <c r="B392" s="177" t="s">
        <v>669</v>
      </c>
      <c r="C392" s="178">
        <v>112</v>
      </c>
      <c r="D392" s="179">
        <v>46321</v>
      </c>
      <c r="E392" s="177" t="s">
        <v>550</v>
      </c>
      <c r="F392" s="178">
        <v>8</v>
      </c>
      <c r="G392" s="180"/>
      <c r="H392" s="180"/>
    </row>
    <row r="393" spans="1:8" ht="20.399999999999999" x14ac:dyDescent="0.3">
      <c r="A393" s="177" t="s">
        <v>281</v>
      </c>
      <c r="B393" s="177" t="s">
        <v>669</v>
      </c>
      <c r="C393" s="178">
        <v>14</v>
      </c>
      <c r="D393" s="179">
        <v>46321</v>
      </c>
      <c r="E393" s="177" t="s">
        <v>550</v>
      </c>
      <c r="F393" s="178">
        <v>8</v>
      </c>
      <c r="G393" s="180"/>
      <c r="H393" s="180"/>
    </row>
    <row r="394" spans="1:8" ht="20.399999999999999" x14ac:dyDescent="0.3">
      <c r="A394" s="177" t="s">
        <v>200</v>
      </c>
      <c r="B394" s="177" t="s">
        <v>634</v>
      </c>
      <c r="C394" s="178">
        <v>78</v>
      </c>
      <c r="D394" s="179">
        <v>46322</v>
      </c>
      <c r="E394" s="177" t="s">
        <v>550</v>
      </c>
      <c r="F394" s="178">
        <v>6</v>
      </c>
      <c r="G394" s="180"/>
      <c r="H394" s="180"/>
    </row>
    <row r="395" spans="1:8" ht="20.399999999999999" x14ac:dyDescent="0.3">
      <c r="A395" s="177" t="s">
        <v>458</v>
      </c>
      <c r="B395" s="177" t="s">
        <v>634</v>
      </c>
      <c r="C395" s="178">
        <v>80</v>
      </c>
      <c r="D395" s="179">
        <v>46322</v>
      </c>
      <c r="E395" s="177" t="s">
        <v>550</v>
      </c>
      <c r="F395" s="178">
        <v>6</v>
      </c>
      <c r="G395" s="178">
        <v>27</v>
      </c>
      <c r="H395" s="180"/>
    </row>
    <row r="396" spans="1:8" ht="20.399999999999999" x14ac:dyDescent="0.3">
      <c r="A396" s="177" t="s">
        <v>277</v>
      </c>
      <c r="B396" s="177" t="s">
        <v>686</v>
      </c>
      <c r="C396" s="178">
        <v>48</v>
      </c>
      <c r="D396" s="179">
        <v>46322</v>
      </c>
      <c r="E396" s="177" t="s">
        <v>550</v>
      </c>
      <c r="F396" s="178">
        <v>3</v>
      </c>
      <c r="G396" s="178">
        <v>30</v>
      </c>
      <c r="H396" s="178">
        <v>2</v>
      </c>
    </row>
    <row r="397" spans="1:8" ht="20.399999999999999" x14ac:dyDescent="0.3">
      <c r="A397" s="177" t="s">
        <v>305</v>
      </c>
      <c r="B397" s="177" t="s">
        <v>582</v>
      </c>
      <c r="C397" s="178">
        <v>462</v>
      </c>
      <c r="D397" s="179">
        <v>46322</v>
      </c>
      <c r="E397" s="177" t="s">
        <v>550</v>
      </c>
      <c r="F397" s="178">
        <v>12</v>
      </c>
      <c r="G397" s="178">
        <v>55</v>
      </c>
      <c r="H397" s="180"/>
    </row>
    <row r="398" spans="1:8" ht="20.399999999999999" x14ac:dyDescent="0.3">
      <c r="A398" s="177" t="s">
        <v>308</v>
      </c>
      <c r="B398" s="177" t="s">
        <v>662</v>
      </c>
      <c r="C398" s="178">
        <v>276</v>
      </c>
      <c r="D398" s="179">
        <v>46323</v>
      </c>
      <c r="E398" s="177" t="s">
        <v>550</v>
      </c>
      <c r="F398" s="178">
        <v>12</v>
      </c>
      <c r="G398" s="178">
        <v>46</v>
      </c>
      <c r="H398" s="180"/>
    </row>
    <row r="399" spans="1:8" ht="20.399999999999999" x14ac:dyDescent="0.3">
      <c r="A399" s="177" t="s">
        <v>732</v>
      </c>
      <c r="B399" s="177" t="s">
        <v>662</v>
      </c>
      <c r="C399" s="178">
        <v>224</v>
      </c>
      <c r="D399" s="179">
        <v>46323</v>
      </c>
      <c r="E399" s="177" t="s">
        <v>550</v>
      </c>
      <c r="F399" s="178">
        <v>11</v>
      </c>
      <c r="G399" s="180"/>
      <c r="H399" s="180"/>
    </row>
    <row r="400" spans="1:8" ht="20.399999999999999" x14ac:dyDescent="0.3">
      <c r="A400" s="177" t="s">
        <v>280</v>
      </c>
      <c r="B400" s="177" t="s">
        <v>658</v>
      </c>
      <c r="C400" s="178">
        <v>406</v>
      </c>
      <c r="D400" s="179">
        <v>46323</v>
      </c>
      <c r="E400" s="177" t="s">
        <v>550</v>
      </c>
      <c r="F400" s="178">
        <v>32</v>
      </c>
      <c r="G400" s="178">
        <v>260</v>
      </c>
      <c r="H400" s="178">
        <v>114</v>
      </c>
    </row>
    <row r="401" spans="1:8" ht="20.399999999999999" x14ac:dyDescent="0.3">
      <c r="A401" s="177" t="s">
        <v>161</v>
      </c>
      <c r="B401" s="177" t="s">
        <v>658</v>
      </c>
      <c r="C401" s="178">
        <v>68</v>
      </c>
      <c r="D401" s="179">
        <v>46323</v>
      </c>
      <c r="E401" s="177" t="s">
        <v>550</v>
      </c>
      <c r="F401" s="178">
        <v>32</v>
      </c>
      <c r="G401" s="180"/>
      <c r="H401" s="180"/>
    </row>
    <row r="402" spans="1:8" ht="20.399999999999999" x14ac:dyDescent="0.3">
      <c r="A402" s="177" t="s">
        <v>97</v>
      </c>
      <c r="B402" s="177" t="s">
        <v>685</v>
      </c>
      <c r="C402" s="178">
        <v>144</v>
      </c>
      <c r="D402" s="179">
        <v>46325</v>
      </c>
      <c r="E402" s="177" t="s">
        <v>550</v>
      </c>
      <c r="F402" s="178">
        <v>1</v>
      </c>
      <c r="G402" s="180"/>
      <c r="H402" s="180"/>
    </row>
    <row r="403" spans="1:8" ht="20.399999999999999" x14ac:dyDescent="0.3">
      <c r="A403" s="177" t="s">
        <v>178</v>
      </c>
      <c r="B403" s="177" t="s">
        <v>661</v>
      </c>
      <c r="C403" s="178">
        <v>106</v>
      </c>
      <c r="D403" s="179">
        <v>46325</v>
      </c>
      <c r="E403" s="177" t="s">
        <v>550</v>
      </c>
      <c r="F403" s="178">
        <v>1</v>
      </c>
      <c r="G403" s="178">
        <v>19</v>
      </c>
      <c r="H403" s="180"/>
    </row>
    <row r="404" spans="1:8" ht="20.399999999999999" x14ac:dyDescent="0.3">
      <c r="A404" s="177" t="s">
        <v>97</v>
      </c>
      <c r="B404" s="177" t="s">
        <v>662</v>
      </c>
      <c r="C404" s="178">
        <v>200</v>
      </c>
      <c r="D404" s="179">
        <v>46325</v>
      </c>
      <c r="E404" s="177" t="s">
        <v>550</v>
      </c>
      <c r="F404" s="178">
        <v>6</v>
      </c>
      <c r="G404" s="180"/>
      <c r="H404" s="180"/>
    </row>
    <row r="405" spans="1:8" ht="20.399999999999999" x14ac:dyDescent="0.3">
      <c r="A405" s="177" t="s">
        <v>97</v>
      </c>
      <c r="B405" s="177" t="s">
        <v>662</v>
      </c>
      <c r="C405" s="178">
        <v>204</v>
      </c>
      <c r="D405" s="179">
        <v>46325</v>
      </c>
      <c r="E405" s="177" t="s">
        <v>550</v>
      </c>
      <c r="F405" s="178">
        <v>24</v>
      </c>
      <c r="G405" s="180"/>
      <c r="H405" s="180"/>
    </row>
    <row r="406" spans="1:8" ht="20.399999999999999" x14ac:dyDescent="0.3">
      <c r="A406" s="177" t="s">
        <v>178</v>
      </c>
      <c r="B406" s="177" t="s">
        <v>682</v>
      </c>
      <c r="C406" s="178">
        <v>12</v>
      </c>
      <c r="D406" s="179">
        <v>46325</v>
      </c>
      <c r="E406" s="177" t="s">
        <v>550</v>
      </c>
      <c r="F406" s="178">
        <v>12</v>
      </c>
      <c r="G406" s="180"/>
      <c r="H406" s="180"/>
    </row>
    <row r="407" spans="1:8" ht="20.399999999999999" x14ac:dyDescent="0.3">
      <c r="A407" s="177" t="s">
        <v>97</v>
      </c>
      <c r="B407" s="177" t="s">
        <v>653</v>
      </c>
      <c r="C407" s="178">
        <v>42</v>
      </c>
      <c r="D407" s="179">
        <v>46325</v>
      </c>
      <c r="E407" s="177" t="s">
        <v>550</v>
      </c>
      <c r="F407" s="178">
        <v>2</v>
      </c>
      <c r="G407" s="180"/>
      <c r="H407" s="180"/>
    </row>
    <row r="408" spans="1:8" x14ac:dyDescent="0.3">
      <c r="A408" s="177" t="s">
        <v>733</v>
      </c>
      <c r="B408" s="177" t="s">
        <v>650</v>
      </c>
      <c r="C408" s="178">
        <v>54</v>
      </c>
      <c r="D408" s="179">
        <v>46325</v>
      </c>
      <c r="E408" s="177" t="s">
        <v>550</v>
      </c>
      <c r="F408" s="178">
        <v>3</v>
      </c>
      <c r="G408" s="180"/>
      <c r="H408" s="178">
        <v>0</v>
      </c>
    </row>
    <row r="409" spans="1:8" ht="20.399999999999999" x14ac:dyDescent="0.3">
      <c r="A409" s="177" t="s">
        <v>734</v>
      </c>
      <c r="B409" s="177" t="s">
        <v>591</v>
      </c>
      <c r="C409" s="178">
        <v>116</v>
      </c>
      <c r="D409" s="179">
        <v>46327</v>
      </c>
      <c r="E409" s="177" t="s">
        <v>550</v>
      </c>
      <c r="F409" s="178">
        <v>5</v>
      </c>
      <c r="G409" s="180"/>
      <c r="H409" s="180"/>
    </row>
    <row r="410" spans="1:8" ht="20.399999999999999" x14ac:dyDescent="0.3">
      <c r="A410" s="177" t="s">
        <v>247</v>
      </c>
      <c r="B410" s="177" t="s">
        <v>662</v>
      </c>
      <c r="C410" s="178">
        <v>268</v>
      </c>
      <c r="D410" s="179">
        <v>46327</v>
      </c>
      <c r="E410" s="177" t="s">
        <v>550</v>
      </c>
      <c r="F410" s="178">
        <v>12</v>
      </c>
      <c r="G410" s="180"/>
      <c r="H410" s="180"/>
    </row>
    <row r="411" spans="1:8" ht="20.399999999999999" x14ac:dyDescent="0.3">
      <c r="A411" s="177" t="s">
        <v>172</v>
      </c>
      <c r="B411" s="177" t="s">
        <v>656</v>
      </c>
      <c r="C411" s="178">
        <v>248</v>
      </c>
      <c r="D411" s="179">
        <v>46328</v>
      </c>
      <c r="E411" s="177" t="s">
        <v>550</v>
      </c>
      <c r="F411" s="178">
        <v>6</v>
      </c>
      <c r="G411" s="180"/>
      <c r="H411" s="178">
        <v>37</v>
      </c>
    </row>
    <row r="412" spans="1:8" ht="20.399999999999999" x14ac:dyDescent="0.3">
      <c r="A412" s="177" t="s">
        <v>251</v>
      </c>
      <c r="B412" s="177" t="s">
        <v>662</v>
      </c>
      <c r="C412" s="178">
        <v>180</v>
      </c>
      <c r="D412" s="179">
        <v>46331</v>
      </c>
      <c r="E412" s="177" t="s">
        <v>550</v>
      </c>
      <c r="F412" s="178">
        <v>48</v>
      </c>
      <c r="G412" s="178">
        <v>125</v>
      </c>
      <c r="H412" s="178">
        <v>121</v>
      </c>
    </row>
    <row r="413" spans="1:8" ht="20.399999999999999" x14ac:dyDescent="0.3">
      <c r="A413" s="177" t="s">
        <v>236</v>
      </c>
      <c r="B413" s="177" t="s">
        <v>662</v>
      </c>
      <c r="C413" s="178">
        <v>148</v>
      </c>
      <c r="D413" s="179">
        <v>46331</v>
      </c>
      <c r="E413" s="177" t="s">
        <v>550</v>
      </c>
      <c r="F413" s="178">
        <v>12</v>
      </c>
      <c r="G413" s="180"/>
      <c r="H413" s="180"/>
    </row>
    <row r="414" spans="1:8" ht="20.399999999999999" x14ac:dyDescent="0.3">
      <c r="A414" s="177" t="s">
        <v>331</v>
      </c>
      <c r="B414" s="177" t="s">
        <v>662</v>
      </c>
      <c r="C414" s="178">
        <v>62</v>
      </c>
      <c r="D414" s="179">
        <v>46331</v>
      </c>
      <c r="E414" s="177" t="s">
        <v>550</v>
      </c>
      <c r="F414" s="178">
        <v>96</v>
      </c>
      <c r="G414" s="180"/>
      <c r="H414" s="178">
        <v>1</v>
      </c>
    </row>
    <row r="415" spans="1:8" ht="20.399999999999999" x14ac:dyDescent="0.3">
      <c r="A415" s="177" t="s">
        <v>79</v>
      </c>
      <c r="B415" s="177" t="s">
        <v>661</v>
      </c>
      <c r="C415" s="178">
        <v>326</v>
      </c>
      <c r="D415" s="179">
        <v>46331</v>
      </c>
      <c r="E415" s="177" t="s">
        <v>550</v>
      </c>
      <c r="F415" s="178">
        <v>10</v>
      </c>
      <c r="G415" s="178">
        <v>8</v>
      </c>
      <c r="H415" s="180"/>
    </row>
    <row r="416" spans="1:8" ht="20.399999999999999" x14ac:dyDescent="0.3">
      <c r="A416" s="177" t="s">
        <v>79</v>
      </c>
      <c r="B416" s="177" t="s">
        <v>686</v>
      </c>
      <c r="C416" s="178">
        <v>184</v>
      </c>
      <c r="D416" s="179">
        <v>46331</v>
      </c>
      <c r="E416" s="177" t="s">
        <v>550</v>
      </c>
      <c r="F416" s="178">
        <v>22</v>
      </c>
      <c r="G416" s="178">
        <v>11</v>
      </c>
      <c r="H416" s="180"/>
    </row>
    <row r="417" spans="1:8" ht="20.399999999999999" x14ac:dyDescent="0.3">
      <c r="A417" s="177" t="s">
        <v>438</v>
      </c>
      <c r="B417" s="177" t="s">
        <v>632</v>
      </c>
      <c r="C417" s="178">
        <v>28</v>
      </c>
      <c r="D417" s="179">
        <v>46331</v>
      </c>
      <c r="E417" s="177" t="s">
        <v>550</v>
      </c>
      <c r="F417" s="178">
        <v>12</v>
      </c>
      <c r="G417" s="180"/>
      <c r="H417" s="178">
        <v>0</v>
      </c>
    </row>
    <row r="418" spans="1:8" ht="20.399999999999999" x14ac:dyDescent="0.3">
      <c r="A418" s="177" t="s">
        <v>105</v>
      </c>
      <c r="B418" s="177" t="s">
        <v>662</v>
      </c>
      <c r="C418" s="178">
        <v>94</v>
      </c>
      <c r="D418" s="179">
        <v>46332</v>
      </c>
      <c r="E418" s="177" t="s">
        <v>550</v>
      </c>
      <c r="F418" s="178">
        <v>12</v>
      </c>
      <c r="G418" s="180"/>
      <c r="H418" s="178">
        <v>3</v>
      </c>
    </row>
    <row r="419" spans="1:8" ht="20.399999999999999" x14ac:dyDescent="0.3">
      <c r="A419" s="177" t="s">
        <v>317</v>
      </c>
      <c r="B419" s="177" t="s">
        <v>682</v>
      </c>
      <c r="C419" s="178">
        <v>2</v>
      </c>
      <c r="D419" s="179">
        <v>46334</v>
      </c>
      <c r="E419" s="177" t="s">
        <v>550</v>
      </c>
      <c r="F419" s="178">
        <v>12</v>
      </c>
      <c r="G419" s="178">
        <v>30</v>
      </c>
      <c r="H419" s="180"/>
    </row>
    <row r="420" spans="1:8" ht="20.399999999999999" x14ac:dyDescent="0.3">
      <c r="A420" s="177" t="s">
        <v>115</v>
      </c>
      <c r="B420" s="177" t="s">
        <v>634</v>
      </c>
      <c r="C420" s="178">
        <v>52</v>
      </c>
      <c r="D420" s="179">
        <v>46335</v>
      </c>
      <c r="E420" s="177" t="s">
        <v>550</v>
      </c>
      <c r="F420" s="178">
        <v>12</v>
      </c>
      <c r="G420" s="178">
        <v>65</v>
      </c>
      <c r="H420" s="180"/>
    </row>
    <row r="421" spans="1:8" ht="20.399999999999999" x14ac:dyDescent="0.3">
      <c r="A421" s="177" t="s">
        <v>569</v>
      </c>
      <c r="B421" s="177" t="s">
        <v>552</v>
      </c>
      <c r="C421" s="178">
        <v>106</v>
      </c>
      <c r="D421" s="179">
        <v>46335</v>
      </c>
      <c r="E421" s="177" t="s">
        <v>550</v>
      </c>
      <c r="F421" s="178">
        <v>5</v>
      </c>
      <c r="G421" s="180"/>
      <c r="H421" s="180"/>
    </row>
    <row r="422" spans="1:8" ht="20.399999999999999" x14ac:dyDescent="0.3">
      <c r="A422" s="177" t="s">
        <v>219</v>
      </c>
      <c r="B422" s="177" t="s">
        <v>582</v>
      </c>
      <c r="C422" s="178">
        <v>220</v>
      </c>
      <c r="D422" s="179">
        <v>46335</v>
      </c>
      <c r="E422" s="177" t="s">
        <v>550</v>
      </c>
      <c r="F422" s="178">
        <v>4</v>
      </c>
      <c r="G422" s="178">
        <v>35</v>
      </c>
      <c r="H422" s="180"/>
    </row>
    <row r="423" spans="1:8" ht="20.399999999999999" x14ac:dyDescent="0.3">
      <c r="A423" s="177" t="s">
        <v>117</v>
      </c>
      <c r="B423" s="177" t="s">
        <v>582</v>
      </c>
      <c r="C423" s="178">
        <v>362</v>
      </c>
      <c r="D423" s="179">
        <v>46335</v>
      </c>
      <c r="E423" s="177" t="s">
        <v>550</v>
      </c>
      <c r="F423" s="178">
        <v>12</v>
      </c>
      <c r="G423" s="178">
        <v>104</v>
      </c>
      <c r="H423" s="180"/>
    </row>
    <row r="424" spans="1:8" ht="20.399999999999999" x14ac:dyDescent="0.3">
      <c r="A424" s="177" t="s">
        <v>118</v>
      </c>
      <c r="B424" s="177" t="s">
        <v>582</v>
      </c>
      <c r="C424" s="178">
        <v>384</v>
      </c>
      <c r="D424" s="179">
        <v>46335</v>
      </c>
      <c r="E424" s="177" t="s">
        <v>550</v>
      </c>
      <c r="F424" s="178">
        <v>6</v>
      </c>
      <c r="G424" s="180"/>
      <c r="H424" s="180"/>
    </row>
    <row r="425" spans="1:8" ht="20.399999999999999" x14ac:dyDescent="0.3">
      <c r="A425" s="177" t="s">
        <v>735</v>
      </c>
      <c r="B425" s="177" t="s">
        <v>552</v>
      </c>
      <c r="C425" s="178">
        <v>344</v>
      </c>
      <c r="D425" s="179">
        <v>46335</v>
      </c>
      <c r="E425" s="177" t="s">
        <v>550</v>
      </c>
      <c r="F425" s="178">
        <v>4</v>
      </c>
      <c r="G425" s="180"/>
      <c r="H425" s="180"/>
    </row>
    <row r="426" spans="1:8" ht="20.399999999999999" x14ac:dyDescent="0.3">
      <c r="A426" s="177" t="s">
        <v>282</v>
      </c>
      <c r="B426" s="177" t="s">
        <v>662</v>
      </c>
      <c r="C426" s="178">
        <v>260</v>
      </c>
      <c r="D426" s="179">
        <v>46336</v>
      </c>
      <c r="E426" s="177" t="s">
        <v>550</v>
      </c>
      <c r="F426" s="178">
        <v>12</v>
      </c>
      <c r="G426" s="178">
        <v>40</v>
      </c>
      <c r="H426" s="180"/>
    </row>
    <row r="427" spans="1:8" ht="20.399999999999999" x14ac:dyDescent="0.3">
      <c r="A427" s="177" t="s">
        <v>736</v>
      </c>
      <c r="B427" s="177" t="s">
        <v>606</v>
      </c>
      <c r="C427" s="178">
        <v>4</v>
      </c>
      <c r="D427" s="179">
        <v>46336</v>
      </c>
      <c r="E427" s="177" t="s">
        <v>550</v>
      </c>
      <c r="F427" s="178">
        <v>2</v>
      </c>
      <c r="G427" s="180"/>
      <c r="H427" s="180"/>
    </row>
    <row r="428" spans="1:8" ht="20.399999999999999" x14ac:dyDescent="0.3">
      <c r="A428" s="177" t="s">
        <v>243</v>
      </c>
      <c r="B428" s="177" t="s">
        <v>658</v>
      </c>
      <c r="C428" s="178">
        <v>44</v>
      </c>
      <c r="D428" s="179">
        <v>46336</v>
      </c>
      <c r="E428" s="177" t="s">
        <v>550</v>
      </c>
      <c r="F428" s="178">
        <v>24</v>
      </c>
      <c r="G428" s="178">
        <v>300</v>
      </c>
      <c r="H428" s="180"/>
    </row>
    <row r="429" spans="1:8" ht="20.399999999999999" x14ac:dyDescent="0.3">
      <c r="A429" s="177" t="s">
        <v>243</v>
      </c>
      <c r="B429" s="177" t="s">
        <v>658</v>
      </c>
      <c r="C429" s="178">
        <v>46</v>
      </c>
      <c r="D429" s="179">
        <v>46336</v>
      </c>
      <c r="E429" s="177" t="s">
        <v>550</v>
      </c>
      <c r="F429" s="178">
        <v>24</v>
      </c>
      <c r="G429" s="180"/>
      <c r="H429" s="180"/>
    </row>
    <row r="430" spans="1:8" ht="20.399999999999999" x14ac:dyDescent="0.3">
      <c r="A430" s="177" t="s">
        <v>737</v>
      </c>
      <c r="B430" s="177" t="s">
        <v>662</v>
      </c>
      <c r="C430" s="178">
        <v>216</v>
      </c>
      <c r="D430" s="179">
        <v>46338</v>
      </c>
      <c r="E430" s="177" t="s">
        <v>550</v>
      </c>
      <c r="F430" s="178">
        <v>8</v>
      </c>
      <c r="G430" s="180"/>
      <c r="H430" s="180"/>
    </row>
    <row r="431" spans="1:8" ht="20.399999999999999" x14ac:dyDescent="0.3">
      <c r="A431" s="177" t="s">
        <v>166</v>
      </c>
      <c r="B431" s="177" t="s">
        <v>662</v>
      </c>
      <c r="C431" s="178">
        <v>106</v>
      </c>
      <c r="D431" s="179">
        <v>46338</v>
      </c>
      <c r="E431" s="177" t="s">
        <v>550</v>
      </c>
      <c r="F431" s="178">
        <v>12</v>
      </c>
      <c r="G431" s="180"/>
      <c r="H431" s="178">
        <v>3</v>
      </c>
    </row>
    <row r="432" spans="1:8" ht="20.399999999999999" x14ac:dyDescent="0.3">
      <c r="A432" s="177" t="s">
        <v>738</v>
      </c>
      <c r="B432" s="177" t="s">
        <v>686</v>
      </c>
      <c r="C432" s="178">
        <v>134</v>
      </c>
      <c r="D432" s="179">
        <v>46338</v>
      </c>
      <c r="E432" s="177" t="s">
        <v>550</v>
      </c>
      <c r="F432" s="178">
        <v>7</v>
      </c>
      <c r="G432" s="180"/>
      <c r="H432" s="180"/>
    </row>
    <row r="433" spans="1:8" ht="20.399999999999999" x14ac:dyDescent="0.3">
      <c r="A433" s="177" t="s">
        <v>125</v>
      </c>
      <c r="B433" s="177" t="s">
        <v>669</v>
      </c>
      <c r="C433" s="178">
        <v>246</v>
      </c>
      <c r="D433" s="179">
        <v>46339</v>
      </c>
      <c r="E433" s="177" t="s">
        <v>550</v>
      </c>
      <c r="F433" s="178">
        <v>3</v>
      </c>
      <c r="G433" s="178">
        <v>28</v>
      </c>
      <c r="H433" s="180"/>
    </row>
    <row r="434" spans="1:8" ht="20.399999999999999" x14ac:dyDescent="0.3">
      <c r="A434" s="177" t="s">
        <v>125</v>
      </c>
      <c r="B434" s="177" t="s">
        <v>669</v>
      </c>
      <c r="C434" s="178">
        <v>82</v>
      </c>
      <c r="D434" s="179">
        <v>46339</v>
      </c>
      <c r="E434" s="177" t="s">
        <v>550</v>
      </c>
      <c r="F434" s="178">
        <v>4</v>
      </c>
      <c r="G434" s="180"/>
      <c r="H434" s="180"/>
    </row>
    <row r="435" spans="1:8" ht="20.399999999999999" x14ac:dyDescent="0.3">
      <c r="A435" s="177" t="s">
        <v>739</v>
      </c>
      <c r="B435" s="177" t="s">
        <v>662</v>
      </c>
      <c r="C435" s="178">
        <v>190</v>
      </c>
      <c r="D435" s="179">
        <v>46340</v>
      </c>
      <c r="E435" s="177" t="s">
        <v>550</v>
      </c>
      <c r="F435" s="178">
        <v>4</v>
      </c>
      <c r="G435" s="178">
        <v>17</v>
      </c>
      <c r="H435" s="180"/>
    </row>
    <row r="436" spans="1:8" ht="20.399999999999999" x14ac:dyDescent="0.3">
      <c r="A436" s="177" t="s">
        <v>739</v>
      </c>
      <c r="B436" s="177" t="s">
        <v>662</v>
      </c>
      <c r="C436" s="178">
        <v>194</v>
      </c>
      <c r="D436" s="179">
        <v>46340</v>
      </c>
      <c r="E436" s="177" t="s">
        <v>550</v>
      </c>
      <c r="F436" s="178">
        <v>12</v>
      </c>
      <c r="G436" s="180"/>
      <c r="H436" s="180"/>
    </row>
    <row r="437" spans="1:8" ht="20.399999999999999" x14ac:dyDescent="0.3">
      <c r="A437" s="177" t="s">
        <v>60</v>
      </c>
      <c r="B437" s="177" t="s">
        <v>662</v>
      </c>
      <c r="C437" s="178">
        <v>84</v>
      </c>
      <c r="D437" s="179">
        <v>46342</v>
      </c>
      <c r="E437" s="177" t="s">
        <v>550</v>
      </c>
      <c r="F437" s="178">
        <v>12</v>
      </c>
      <c r="G437" s="180"/>
      <c r="H437" s="180"/>
    </row>
    <row r="438" spans="1:8" ht="20.399999999999999" x14ac:dyDescent="0.3">
      <c r="A438" s="177" t="s">
        <v>60</v>
      </c>
      <c r="B438" s="177" t="s">
        <v>631</v>
      </c>
      <c r="C438" s="178">
        <v>16</v>
      </c>
      <c r="D438" s="179">
        <v>46342</v>
      </c>
      <c r="E438" s="177" t="s">
        <v>550</v>
      </c>
      <c r="F438" s="178">
        <v>1</v>
      </c>
      <c r="G438" s="178">
        <v>23</v>
      </c>
      <c r="H438" s="180"/>
    </row>
    <row r="439" spans="1:8" ht="20.399999999999999" x14ac:dyDescent="0.3">
      <c r="A439" s="177" t="s">
        <v>60</v>
      </c>
      <c r="B439" s="177" t="s">
        <v>686</v>
      </c>
      <c r="C439" s="178">
        <v>160</v>
      </c>
      <c r="D439" s="179">
        <v>46342</v>
      </c>
      <c r="E439" s="177" t="s">
        <v>550</v>
      </c>
      <c r="F439" s="178">
        <v>4</v>
      </c>
      <c r="G439" s="180"/>
      <c r="H439" s="180"/>
    </row>
    <row r="440" spans="1:8" ht="20.399999999999999" x14ac:dyDescent="0.3">
      <c r="A440" s="177" t="s">
        <v>475</v>
      </c>
      <c r="B440" s="177" t="s">
        <v>582</v>
      </c>
      <c r="C440" s="178">
        <v>132</v>
      </c>
      <c r="D440" s="179">
        <v>46343</v>
      </c>
      <c r="E440" s="177" t="s">
        <v>550</v>
      </c>
      <c r="F440" s="178">
        <v>16</v>
      </c>
      <c r="G440" s="180"/>
      <c r="H440" s="180"/>
    </row>
    <row r="441" spans="1:8" ht="20.399999999999999" x14ac:dyDescent="0.3">
      <c r="A441" s="177" t="s">
        <v>87</v>
      </c>
      <c r="B441" s="177" t="s">
        <v>656</v>
      </c>
      <c r="C441" s="178">
        <v>218</v>
      </c>
      <c r="D441" s="179">
        <v>46343</v>
      </c>
      <c r="E441" s="177" t="s">
        <v>550</v>
      </c>
      <c r="F441" s="178">
        <v>6</v>
      </c>
      <c r="G441" s="180"/>
      <c r="H441" s="178">
        <v>36</v>
      </c>
    </row>
    <row r="442" spans="1:8" ht="20.399999999999999" x14ac:dyDescent="0.3">
      <c r="A442" s="177" t="s">
        <v>240</v>
      </c>
      <c r="B442" s="177" t="s">
        <v>656</v>
      </c>
      <c r="C442" s="178">
        <v>174</v>
      </c>
      <c r="D442" s="179">
        <v>46343</v>
      </c>
      <c r="E442" s="177" t="s">
        <v>550</v>
      </c>
      <c r="F442" s="178">
        <v>6</v>
      </c>
      <c r="G442" s="178">
        <v>32</v>
      </c>
      <c r="H442" s="180"/>
    </row>
    <row r="443" spans="1:8" ht="20.399999999999999" x14ac:dyDescent="0.3">
      <c r="A443" s="177" t="s">
        <v>240</v>
      </c>
      <c r="B443" s="177" t="s">
        <v>656</v>
      </c>
      <c r="C443" s="178">
        <v>180</v>
      </c>
      <c r="D443" s="179">
        <v>46343</v>
      </c>
      <c r="E443" s="177" t="s">
        <v>550</v>
      </c>
      <c r="F443" s="178">
        <v>6</v>
      </c>
      <c r="G443" s="180"/>
      <c r="H443" s="180"/>
    </row>
    <row r="444" spans="1:8" ht="20.399999999999999" x14ac:dyDescent="0.3">
      <c r="A444" s="177" t="s">
        <v>172</v>
      </c>
      <c r="B444" s="177" t="s">
        <v>656</v>
      </c>
      <c r="C444" s="178">
        <v>122</v>
      </c>
      <c r="D444" s="179">
        <v>46343</v>
      </c>
      <c r="E444" s="177" t="s">
        <v>550</v>
      </c>
      <c r="F444" s="178">
        <v>12</v>
      </c>
      <c r="G444" s="180"/>
      <c r="H444" s="178">
        <v>37</v>
      </c>
    </row>
    <row r="445" spans="1:8" ht="20.399999999999999" x14ac:dyDescent="0.3">
      <c r="A445" s="177" t="s">
        <v>287</v>
      </c>
      <c r="B445" s="177" t="s">
        <v>669</v>
      </c>
      <c r="C445" s="178">
        <v>84</v>
      </c>
      <c r="D445" s="179">
        <v>46344</v>
      </c>
      <c r="E445" s="177" t="s">
        <v>550</v>
      </c>
      <c r="F445" s="178">
        <v>4</v>
      </c>
      <c r="G445" s="178">
        <v>29</v>
      </c>
      <c r="H445" s="180"/>
    </row>
    <row r="446" spans="1:8" ht="20.399999999999999" x14ac:dyDescent="0.3">
      <c r="A446" s="177" t="s">
        <v>287</v>
      </c>
      <c r="B446" s="177" t="s">
        <v>669</v>
      </c>
      <c r="C446" s="178">
        <v>92</v>
      </c>
      <c r="D446" s="179">
        <v>46344</v>
      </c>
      <c r="E446" s="177" t="s">
        <v>550</v>
      </c>
      <c r="F446" s="178">
        <v>4</v>
      </c>
      <c r="G446" s="180"/>
      <c r="H446" s="180"/>
    </row>
    <row r="447" spans="1:8" ht="20.399999999999999" x14ac:dyDescent="0.3">
      <c r="A447" s="177" t="s">
        <v>297</v>
      </c>
      <c r="B447" s="177" t="s">
        <v>658</v>
      </c>
      <c r="C447" s="178">
        <v>122</v>
      </c>
      <c r="D447" s="179">
        <v>46344</v>
      </c>
      <c r="E447" s="177" t="s">
        <v>550</v>
      </c>
      <c r="F447" s="178">
        <v>4</v>
      </c>
      <c r="G447" s="178">
        <v>33</v>
      </c>
      <c r="H447" s="180"/>
    </row>
    <row r="448" spans="1:8" ht="20.399999999999999" x14ac:dyDescent="0.3">
      <c r="A448" s="177" t="s">
        <v>297</v>
      </c>
      <c r="B448" s="177" t="s">
        <v>658</v>
      </c>
      <c r="C448" s="178">
        <v>124</v>
      </c>
      <c r="D448" s="179">
        <v>46344</v>
      </c>
      <c r="E448" s="177" t="s">
        <v>550</v>
      </c>
      <c r="F448" s="178">
        <v>4</v>
      </c>
      <c r="G448" s="180"/>
      <c r="H448" s="180"/>
    </row>
    <row r="449" spans="1:8" ht="20.399999999999999" x14ac:dyDescent="0.3">
      <c r="A449" s="177" t="s">
        <v>164</v>
      </c>
      <c r="B449" s="177" t="s">
        <v>740</v>
      </c>
      <c r="C449" s="178">
        <v>40</v>
      </c>
      <c r="D449" s="179">
        <v>46348</v>
      </c>
      <c r="E449" s="177" t="s">
        <v>550</v>
      </c>
      <c r="F449" s="178">
        <v>3</v>
      </c>
      <c r="G449" s="180"/>
      <c r="H449" s="180"/>
    </row>
    <row r="450" spans="1:8" ht="20.399999999999999" x14ac:dyDescent="0.3">
      <c r="A450" s="177" t="s">
        <v>713</v>
      </c>
      <c r="B450" s="177" t="s">
        <v>688</v>
      </c>
      <c r="C450" s="178">
        <v>6</v>
      </c>
      <c r="D450" s="179">
        <v>46348</v>
      </c>
      <c r="E450" s="177" t="s">
        <v>550</v>
      </c>
      <c r="F450" s="178">
        <v>24</v>
      </c>
      <c r="G450" s="180"/>
      <c r="H450" s="180"/>
    </row>
    <row r="451" spans="1:8" ht="20.399999999999999" x14ac:dyDescent="0.3">
      <c r="A451" s="177" t="s">
        <v>146</v>
      </c>
      <c r="B451" s="177" t="s">
        <v>688</v>
      </c>
      <c r="C451" s="178">
        <v>20</v>
      </c>
      <c r="D451" s="179">
        <v>46348</v>
      </c>
      <c r="E451" s="177" t="s">
        <v>550</v>
      </c>
      <c r="F451" s="178">
        <v>12</v>
      </c>
      <c r="G451" s="180"/>
      <c r="H451" s="180"/>
    </row>
    <row r="452" spans="1:8" ht="20.399999999999999" x14ac:dyDescent="0.3">
      <c r="A452" s="177" t="s">
        <v>38</v>
      </c>
      <c r="B452" s="177" t="s">
        <v>686</v>
      </c>
      <c r="C452" s="178">
        <v>200</v>
      </c>
      <c r="D452" s="179">
        <v>46348</v>
      </c>
      <c r="E452" s="177" t="s">
        <v>550</v>
      </c>
      <c r="F452" s="178">
        <v>2</v>
      </c>
      <c r="G452" s="178">
        <v>13</v>
      </c>
      <c r="H452" s="180"/>
    </row>
    <row r="453" spans="1:8" ht="20.399999999999999" x14ac:dyDescent="0.3">
      <c r="A453" s="177" t="s">
        <v>741</v>
      </c>
      <c r="B453" s="177" t="s">
        <v>686</v>
      </c>
      <c r="C453" s="178">
        <v>236</v>
      </c>
      <c r="D453" s="179">
        <v>46348</v>
      </c>
      <c r="E453" s="177" t="s">
        <v>550</v>
      </c>
      <c r="F453" s="178">
        <v>5</v>
      </c>
      <c r="G453" s="180"/>
      <c r="H453" s="180"/>
    </row>
    <row r="454" spans="1:8" ht="20.399999999999999" x14ac:dyDescent="0.3">
      <c r="A454" s="177" t="s">
        <v>441</v>
      </c>
      <c r="B454" s="177" t="s">
        <v>650</v>
      </c>
      <c r="C454" s="178">
        <v>88</v>
      </c>
      <c r="D454" s="179">
        <v>46349</v>
      </c>
      <c r="E454" s="177" t="s">
        <v>550</v>
      </c>
      <c r="F454" s="178">
        <v>21</v>
      </c>
      <c r="G454" s="180"/>
      <c r="H454" s="178">
        <v>0</v>
      </c>
    </row>
    <row r="455" spans="1:8" ht="20.399999999999999" x14ac:dyDescent="0.3">
      <c r="A455" s="177" t="s">
        <v>103</v>
      </c>
      <c r="B455" s="177" t="s">
        <v>656</v>
      </c>
      <c r="C455" s="178">
        <v>256</v>
      </c>
      <c r="D455" s="179">
        <v>46349</v>
      </c>
      <c r="E455" s="177" t="s">
        <v>550</v>
      </c>
      <c r="F455" s="178">
        <v>1</v>
      </c>
      <c r="G455" s="178">
        <v>27</v>
      </c>
      <c r="H455" s="180"/>
    </row>
    <row r="456" spans="1:8" ht="20.399999999999999" x14ac:dyDescent="0.3">
      <c r="A456" s="177" t="s">
        <v>279</v>
      </c>
      <c r="B456" s="177" t="s">
        <v>658</v>
      </c>
      <c r="C456" s="178">
        <v>138</v>
      </c>
      <c r="D456" s="179">
        <v>46349</v>
      </c>
      <c r="E456" s="177" t="s">
        <v>550</v>
      </c>
      <c r="F456" s="178">
        <v>4</v>
      </c>
      <c r="G456" s="178">
        <v>29</v>
      </c>
      <c r="H456" s="180"/>
    </row>
    <row r="457" spans="1:8" ht="20.399999999999999" x14ac:dyDescent="0.3">
      <c r="A457" s="177" t="s">
        <v>152</v>
      </c>
      <c r="B457" s="177" t="s">
        <v>651</v>
      </c>
      <c r="C457" s="178">
        <v>94</v>
      </c>
      <c r="D457" s="179">
        <v>46349</v>
      </c>
      <c r="E457" s="177" t="s">
        <v>550</v>
      </c>
      <c r="F457" s="178">
        <v>1</v>
      </c>
      <c r="G457" s="180"/>
      <c r="H457" s="180"/>
    </row>
    <row r="458" spans="1:8" ht="20.399999999999999" x14ac:dyDescent="0.3">
      <c r="A458" s="177" t="s">
        <v>158</v>
      </c>
      <c r="B458" s="177" t="s">
        <v>651</v>
      </c>
      <c r="C458" s="178">
        <v>66</v>
      </c>
      <c r="D458" s="179">
        <v>46350</v>
      </c>
      <c r="E458" s="177" t="s">
        <v>550</v>
      </c>
      <c r="F458" s="178">
        <v>1</v>
      </c>
      <c r="G458" s="180"/>
      <c r="H458" s="180"/>
    </row>
    <row r="459" spans="1:8" ht="20.399999999999999" x14ac:dyDescent="0.3">
      <c r="A459" s="177" t="s">
        <v>84</v>
      </c>
      <c r="B459" s="177" t="s">
        <v>661</v>
      </c>
      <c r="C459" s="178">
        <v>128</v>
      </c>
      <c r="D459" s="179">
        <v>46350</v>
      </c>
      <c r="E459" s="177" t="s">
        <v>550</v>
      </c>
      <c r="F459" s="178">
        <v>6</v>
      </c>
      <c r="G459" s="178">
        <v>12</v>
      </c>
      <c r="H459" s="180"/>
    </row>
    <row r="460" spans="1:8" ht="20.399999999999999" x14ac:dyDescent="0.3">
      <c r="A460" s="177" t="s">
        <v>158</v>
      </c>
      <c r="B460" s="177" t="s">
        <v>662</v>
      </c>
      <c r="C460" s="178">
        <v>394</v>
      </c>
      <c r="D460" s="179">
        <v>46350</v>
      </c>
      <c r="E460" s="177" t="s">
        <v>550</v>
      </c>
      <c r="F460" s="178">
        <v>1</v>
      </c>
      <c r="G460" s="180"/>
      <c r="H460" s="180"/>
    </row>
    <row r="461" spans="1:8" ht="20.399999999999999" x14ac:dyDescent="0.3">
      <c r="A461" s="177" t="s">
        <v>158</v>
      </c>
      <c r="B461" s="177" t="s">
        <v>662</v>
      </c>
      <c r="C461" s="178">
        <v>396</v>
      </c>
      <c r="D461" s="179">
        <v>46350</v>
      </c>
      <c r="E461" s="177" t="s">
        <v>550</v>
      </c>
      <c r="F461" s="178">
        <v>12</v>
      </c>
      <c r="G461" s="180"/>
      <c r="H461" s="180"/>
    </row>
    <row r="462" spans="1:8" ht="20.399999999999999" x14ac:dyDescent="0.3">
      <c r="A462" s="177" t="s">
        <v>741</v>
      </c>
      <c r="B462" s="177" t="s">
        <v>662</v>
      </c>
      <c r="C462" s="178">
        <v>158</v>
      </c>
      <c r="D462" s="179">
        <v>46350</v>
      </c>
      <c r="E462" s="177" t="s">
        <v>550</v>
      </c>
      <c r="F462" s="178">
        <v>12</v>
      </c>
      <c r="G462" s="180"/>
      <c r="H462" s="180"/>
    </row>
    <row r="463" spans="1:8" ht="20.399999999999999" x14ac:dyDescent="0.3">
      <c r="A463" s="177" t="s">
        <v>84</v>
      </c>
      <c r="B463" s="177" t="s">
        <v>662</v>
      </c>
      <c r="C463" s="178">
        <v>256</v>
      </c>
      <c r="D463" s="179">
        <v>46350</v>
      </c>
      <c r="E463" s="177" t="s">
        <v>550</v>
      </c>
      <c r="F463" s="178">
        <v>12</v>
      </c>
      <c r="G463" s="180"/>
      <c r="H463" s="180"/>
    </row>
    <row r="464" spans="1:8" ht="20.399999999999999" x14ac:dyDescent="0.3">
      <c r="A464" s="177" t="s">
        <v>84</v>
      </c>
      <c r="B464" s="177" t="s">
        <v>686</v>
      </c>
      <c r="C464" s="178">
        <v>180</v>
      </c>
      <c r="D464" s="179">
        <v>46350</v>
      </c>
      <c r="E464" s="177" t="s">
        <v>550</v>
      </c>
      <c r="F464" s="178">
        <v>4</v>
      </c>
      <c r="G464" s="180"/>
      <c r="H464" s="180"/>
    </row>
    <row r="465" spans="1:8" ht="20.399999999999999" x14ac:dyDescent="0.3">
      <c r="A465" s="177" t="s">
        <v>741</v>
      </c>
      <c r="B465" s="177" t="s">
        <v>653</v>
      </c>
      <c r="C465" s="178">
        <v>46</v>
      </c>
      <c r="D465" s="179">
        <v>46350</v>
      </c>
      <c r="E465" s="177" t="s">
        <v>550</v>
      </c>
      <c r="F465" s="178">
        <v>1</v>
      </c>
      <c r="G465" s="180"/>
      <c r="H465" s="180"/>
    </row>
    <row r="466" spans="1:8" ht="20.399999999999999" x14ac:dyDescent="0.3">
      <c r="A466" s="177" t="s">
        <v>742</v>
      </c>
      <c r="B466" s="177" t="s">
        <v>653</v>
      </c>
      <c r="C466" s="178">
        <v>64</v>
      </c>
      <c r="D466" s="179">
        <v>46351</v>
      </c>
      <c r="E466" s="177" t="s">
        <v>550</v>
      </c>
      <c r="F466" s="178">
        <v>1</v>
      </c>
      <c r="G466" s="180"/>
      <c r="H466" s="180"/>
    </row>
    <row r="467" spans="1:8" ht="20.399999999999999" x14ac:dyDescent="0.3">
      <c r="A467" s="177" t="s">
        <v>176</v>
      </c>
      <c r="B467" s="177" t="s">
        <v>686</v>
      </c>
      <c r="C467" s="178">
        <v>228</v>
      </c>
      <c r="D467" s="179">
        <v>46351</v>
      </c>
      <c r="E467" s="177" t="s">
        <v>550</v>
      </c>
      <c r="F467" s="178">
        <v>20</v>
      </c>
      <c r="G467" s="180"/>
      <c r="H467" s="180"/>
    </row>
    <row r="468" spans="1:8" ht="20.399999999999999" x14ac:dyDescent="0.3">
      <c r="A468" s="177" t="s">
        <v>277</v>
      </c>
      <c r="B468" s="177" t="s">
        <v>686</v>
      </c>
      <c r="C468" s="178">
        <v>50</v>
      </c>
      <c r="D468" s="179">
        <v>46351</v>
      </c>
      <c r="E468" s="177" t="s">
        <v>550</v>
      </c>
      <c r="F468" s="178">
        <v>12</v>
      </c>
      <c r="G468" s="180"/>
      <c r="H468" s="178">
        <v>2</v>
      </c>
    </row>
    <row r="469" spans="1:8" ht="20.399999999999999" x14ac:dyDescent="0.3">
      <c r="A469" s="177" t="s">
        <v>742</v>
      </c>
      <c r="B469" s="177" t="s">
        <v>686</v>
      </c>
      <c r="C469" s="178">
        <v>66</v>
      </c>
      <c r="D469" s="179">
        <v>46351</v>
      </c>
      <c r="E469" s="177" t="s">
        <v>550</v>
      </c>
      <c r="F469" s="178">
        <v>1</v>
      </c>
      <c r="G469" s="180"/>
      <c r="H469" s="180"/>
    </row>
    <row r="470" spans="1:8" ht="20.399999999999999" x14ac:dyDescent="0.3">
      <c r="A470" s="177" t="s">
        <v>742</v>
      </c>
      <c r="B470" s="177" t="s">
        <v>686</v>
      </c>
      <c r="C470" s="178">
        <v>68</v>
      </c>
      <c r="D470" s="179">
        <v>46351</v>
      </c>
      <c r="E470" s="177" t="s">
        <v>550</v>
      </c>
      <c r="F470" s="178">
        <v>12</v>
      </c>
      <c r="G470" s="180"/>
      <c r="H470" s="180"/>
    </row>
    <row r="471" spans="1:8" ht="20.399999999999999" x14ac:dyDescent="0.3">
      <c r="A471" s="177" t="s">
        <v>176</v>
      </c>
      <c r="B471" s="177" t="s">
        <v>662</v>
      </c>
      <c r="C471" s="178">
        <v>374</v>
      </c>
      <c r="D471" s="179">
        <v>46351</v>
      </c>
      <c r="E471" s="177" t="s">
        <v>550</v>
      </c>
      <c r="F471" s="178">
        <v>48</v>
      </c>
      <c r="G471" s="180"/>
      <c r="H471" s="180"/>
    </row>
    <row r="472" spans="1:8" ht="20.399999999999999" x14ac:dyDescent="0.3">
      <c r="A472" s="177" t="s">
        <v>215</v>
      </c>
      <c r="B472" s="177" t="s">
        <v>701</v>
      </c>
      <c r="C472" s="178">
        <v>46</v>
      </c>
      <c r="D472" s="179">
        <v>46351</v>
      </c>
      <c r="E472" s="177" t="s">
        <v>550</v>
      </c>
      <c r="F472" s="178">
        <v>8</v>
      </c>
      <c r="G472" s="180"/>
      <c r="H472" s="180"/>
    </row>
    <row r="473" spans="1:8" ht="20.399999999999999" x14ac:dyDescent="0.3">
      <c r="A473" s="177" t="s">
        <v>89</v>
      </c>
      <c r="B473" s="177" t="s">
        <v>686</v>
      </c>
      <c r="C473" s="178">
        <v>4</v>
      </c>
      <c r="D473" s="179">
        <v>46351</v>
      </c>
      <c r="E473" s="177" t="s">
        <v>550</v>
      </c>
      <c r="F473" s="178">
        <v>9</v>
      </c>
      <c r="G473" s="180"/>
      <c r="H473" s="180"/>
    </row>
    <row r="474" spans="1:8" ht="20.399999999999999" x14ac:dyDescent="0.3">
      <c r="A474" s="177" t="s">
        <v>176</v>
      </c>
      <c r="B474" s="177" t="s">
        <v>685</v>
      </c>
      <c r="C474" s="178">
        <v>278</v>
      </c>
      <c r="D474" s="179">
        <v>46351</v>
      </c>
      <c r="E474" s="177" t="s">
        <v>550</v>
      </c>
      <c r="F474" s="178">
        <v>1</v>
      </c>
      <c r="G474" s="180"/>
      <c r="H474" s="180"/>
    </row>
    <row r="475" spans="1:8" ht="20.399999999999999" x14ac:dyDescent="0.3">
      <c r="A475" s="177" t="s">
        <v>742</v>
      </c>
      <c r="B475" s="177" t="s">
        <v>651</v>
      </c>
      <c r="C475" s="178">
        <v>88</v>
      </c>
      <c r="D475" s="179">
        <v>46351</v>
      </c>
      <c r="E475" s="177" t="s">
        <v>550</v>
      </c>
      <c r="F475" s="178">
        <v>1</v>
      </c>
      <c r="G475" s="180"/>
      <c r="H475" s="180"/>
    </row>
    <row r="476" spans="1:8" ht="20.399999999999999" x14ac:dyDescent="0.3">
      <c r="A476" s="177" t="s">
        <v>436</v>
      </c>
      <c r="B476" s="177" t="s">
        <v>582</v>
      </c>
      <c r="C476" s="178">
        <v>66</v>
      </c>
      <c r="D476" s="179">
        <v>46352</v>
      </c>
      <c r="E476" s="177" t="s">
        <v>550</v>
      </c>
      <c r="F476" s="178">
        <v>12</v>
      </c>
      <c r="G476" s="180"/>
      <c r="H476" s="180"/>
    </row>
    <row r="477" spans="1:8" ht="20.399999999999999" x14ac:dyDescent="0.3">
      <c r="A477" s="177" t="s">
        <v>436</v>
      </c>
      <c r="B477" s="177" t="s">
        <v>582</v>
      </c>
      <c r="C477" s="178">
        <v>62</v>
      </c>
      <c r="D477" s="179">
        <v>46352</v>
      </c>
      <c r="E477" s="177" t="s">
        <v>550</v>
      </c>
      <c r="F477" s="178">
        <v>12</v>
      </c>
      <c r="G477" s="178">
        <v>45</v>
      </c>
      <c r="H477" s="180"/>
    </row>
    <row r="478" spans="1:8" ht="20.399999999999999" x14ac:dyDescent="0.3">
      <c r="A478" s="177" t="s">
        <v>138</v>
      </c>
      <c r="B478" s="177" t="s">
        <v>686</v>
      </c>
      <c r="C478" s="178">
        <v>198</v>
      </c>
      <c r="D478" s="179">
        <v>46354</v>
      </c>
      <c r="E478" s="177" t="s">
        <v>550</v>
      </c>
      <c r="F478" s="178">
        <v>4</v>
      </c>
      <c r="G478" s="180"/>
      <c r="H478" s="180"/>
    </row>
    <row r="479" spans="1:8" ht="20.399999999999999" x14ac:dyDescent="0.3">
      <c r="A479" s="177" t="s">
        <v>138</v>
      </c>
      <c r="B479" s="177" t="s">
        <v>661</v>
      </c>
      <c r="C479" s="178">
        <v>142</v>
      </c>
      <c r="D479" s="179">
        <v>46354</v>
      </c>
      <c r="E479" s="177" t="s">
        <v>550</v>
      </c>
      <c r="F479" s="178">
        <v>1</v>
      </c>
      <c r="G479" s="178">
        <v>12</v>
      </c>
      <c r="H479" s="180"/>
    </row>
    <row r="480" spans="1:8" ht="20.399999999999999" x14ac:dyDescent="0.3">
      <c r="A480" s="177" t="s">
        <v>138</v>
      </c>
      <c r="B480" s="177" t="s">
        <v>649</v>
      </c>
      <c r="C480" s="178">
        <v>360</v>
      </c>
      <c r="D480" s="179">
        <v>46354</v>
      </c>
      <c r="E480" s="177" t="s">
        <v>550</v>
      </c>
      <c r="F480" s="178">
        <v>2</v>
      </c>
      <c r="G480" s="178">
        <v>22</v>
      </c>
      <c r="H480" s="180"/>
    </row>
    <row r="481" spans="1:8" ht="20.399999999999999" x14ac:dyDescent="0.3">
      <c r="A481" s="177" t="s">
        <v>138</v>
      </c>
      <c r="B481" s="177" t="s">
        <v>662</v>
      </c>
      <c r="C481" s="178">
        <v>252</v>
      </c>
      <c r="D481" s="179">
        <v>46354</v>
      </c>
      <c r="E481" s="177" t="s">
        <v>550</v>
      </c>
      <c r="F481" s="178">
        <v>12</v>
      </c>
      <c r="G481" s="180"/>
      <c r="H481" s="180"/>
    </row>
    <row r="482" spans="1:8" ht="20.399999999999999" x14ac:dyDescent="0.3">
      <c r="A482" s="177" t="s">
        <v>264</v>
      </c>
      <c r="B482" s="177" t="s">
        <v>662</v>
      </c>
      <c r="C482" s="178">
        <v>228</v>
      </c>
      <c r="D482" s="179">
        <v>46355</v>
      </c>
      <c r="E482" s="177" t="s">
        <v>550</v>
      </c>
      <c r="F482" s="178">
        <v>9</v>
      </c>
      <c r="G482" s="180"/>
      <c r="H482" s="180"/>
    </row>
    <row r="483" spans="1:8" ht="20.399999999999999" x14ac:dyDescent="0.3">
      <c r="A483" s="177" t="s">
        <v>683</v>
      </c>
      <c r="B483" s="177" t="s">
        <v>662</v>
      </c>
      <c r="C483" s="178">
        <v>96</v>
      </c>
      <c r="D483" s="179">
        <v>46355</v>
      </c>
      <c r="E483" s="177" t="s">
        <v>550</v>
      </c>
      <c r="F483" s="178">
        <v>5</v>
      </c>
      <c r="G483" s="180"/>
      <c r="H483" s="180"/>
    </row>
    <row r="484" spans="1:8" ht="20.399999999999999" x14ac:dyDescent="0.3">
      <c r="A484" s="177" t="s">
        <v>743</v>
      </c>
      <c r="B484" s="177" t="s">
        <v>603</v>
      </c>
      <c r="C484" s="178">
        <v>66</v>
      </c>
      <c r="D484" s="179">
        <v>46355</v>
      </c>
      <c r="E484" s="177" t="s">
        <v>550</v>
      </c>
      <c r="F484" s="178">
        <v>4</v>
      </c>
      <c r="G484" s="178">
        <v>13</v>
      </c>
      <c r="H484" s="180"/>
    </row>
    <row r="485" spans="1:8" x14ac:dyDescent="0.3">
      <c r="A485" s="177" t="s">
        <v>470</v>
      </c>
      <c r="B485" s="177" t="s">
        <v>582</v>
      </c>
      <c r="C485" s="178">
        <v>480</v>
      </c>
      <c r="D485" s="179">
        <v>46355</v>
      </c>
      <c r="E485" s="177" t="s">
        <v>550</v>
      </c>
      <c r="F485" s="178">
        <v>4</v>
      </c>
      <c r="G485" s="178">
        <v>15</v>
      </c>
      <c r="H485" s="180"/>
    </row>
    <row r="486" spans="1:8" ht="20.399999999999999" x14ac:dyDescent="0.3">
      <c r="A486" s="177" t="s">
        <v>744</v>
      </c>
      <c r="B486" s="177" t="s">
        <v>655</v>
      </c>
      <c r="C486" s="178">
        <v>6</v>
      </c>
      <c r="D486" s="179">
        <v>46356</v>
      </c>
      <c r="E486" s="177" t="s">
        <v>550</v>
      </c>
      <c r="F486" s="178">
        <v>1</v>
      </c>
      <c r="G486" s="180"/>
      <c r="H486" s="180"/>
    </row>
    <row r="487" spans="1:8" ht="20.399999999999999" x14ac:dyDescent="0.3">
      <c r="A487" s="177" t="s">
        <v>744</v>
      </c>
      <c r="B487" s="177" t="s">
        <v>653</v>
      </c>
      <c r="C487" s="178">
        <v>62</v>
      </c>
      <c r="D487" s="179">
        <v>46356</v>
      </c>
      <c r="E487" s="177" t="s">
        <v>550</v>
      </c>
      <c r="F487" s="178">
        <v>1</v>
      </c>
      <c r="G487" s="180"/>
      <c r="H487" s="180"/>
    </row>
    <row r="488" spans="1:8" ht="20.399999999999999" x14ac:dyDescent="0.3">
      <c r="A488" s="177" t="s">
        <v>28</v>
      </c>
      <c r="B488" s="177" t="s">
        <v>686</v>
      </c>
      <c r="C488" s="178">
        <v>182</v>
      </c>
      <c r="D488" s="179">
        <v>46356</v>
      </c>
      <c r="E488" s="177" t="s">
        <v>550</v>
      </c>
      <c r="F488" s="178">
        <v>18</v>
      </c>
      <c r="G488" s="180"/>
      <c r="H488" s="180"/>
    </row>
    <row r="489" spans="1:8" ht="20.399999999999999" x14ac:dyDescent="0.3">
      <c r="A489" s="177" t="s">
        <v>744</v>
      </c>
      <c r="B489" s="177" t="s">
        <v>686</v>
      </c>
      <c r="C489" s="178">
        <v>72</v>
      </c>
      <c r="D489" s="179">
        <v>46356</v>
      </c>
      <c r="E489" s="177" t="s">
        <v>550</v>
      </c>
      <c r="F489" s="178">
        <v>12</v>
      </c>
      <c r="G489" s="180"/>
      <c r="H489" s="180"/>
    </row>
    <row r="490" spans="1:8" ht="20.399999999999999" x14ac:dyDescent="0.3">
      <c r="A490" s="177" t="s">
        <v>336</v>
      </c>
      <c r="B490" s="177" t="s">
        <v>686</v>
      </c>
      <c r="C490" s="178">
        <v>120</v>
      </c>
      <c r="D490" s="179">
        <v>46356</v>
      </c>
      <c r="E490" s="177" t="s">
        <v>550</v>
      </c>
      <c r="F490" s="178">
        <v>4</v>
      </c>
      <c r="G490" s="180"/>
      <c r="H490" s="180"/>
    </row>
    <row r="491" spans="1:8" ht="20.399999999999999" x14ac:dyDescent="0.3">
      <c r="A491" s="177" t="s">
        <v>745</v>
      </c>
      <c r="B491" s="177" t="s">
        <v>686</v>
      </c>
      <c r="C491" s="178">
        <v>162</v>
      </c>
      <c r="D491" s="179">
        <v>46356</v>
      </c>
      <c r="E491" s="177" t="s">
        <v>550</v>
      </c>
      <c r="F491" s="178">
        <v>5</v>
      </c>
      <c r="G491" s="180"/>
      <c r="H491" s="180"/>
    </row>
    <row r="492" spans="1:8" ht="20.399999999999999" x14ac:dyDescent="0.3">
      <c r="A492" s="177" t="s">
        <v>276</v>
      </c>
      <c r="B492" s="177" t="s">
        <v>630</v>
      </c>
      <c r="C492" s="178">
        <v>124</v>
      </c>
      <c r="D492" s="179">
        <v>46356</v>
      </c>
      <c r="E492" s="177" t="s">
        <v>550</v>
      </c>
      <c r="F492" s="178">
        <v>1</v>
      </c>
      <c r="G492" s="180"/>
      <c r="H492" s="178">
        <v>0</v>
      </c>
    </row>
    <row r="493" spans="1:8" ht="20.399999999999999" x14ac:dyDescent="0.3">
      <c r="A493" s="177" t="s">
        <v>744</v>
      </c>
      <c r="B493" s="177" t="s">
        <v>651</v>
      </c>
      <c r="C493" s="178">
        <v>86</v>
      </c>
      <c r="D493" s="179">
        <v>46356</v>
      </c>
      <c r="E493" s="177" t="s">
        <v>550</v>
      </c>
      <c r="F493" s="178">
        <v>1</v>
      </c>
      <c r="G493" s="180"/>
      <c r="H493" s="180"/>
    </row>
    <row r="494" spans="1:8" ht="20.399999999999999" x14ac:dyDescent="0.3">
      <c r="A494" s="177" t="s">
        <v>168</v>
      </c>
      <c r="B494" s="177" t="s">
        <v>746</v>
      </c>
      <c r="C494" s="178">
        <v>20</v>
      </c>
      <c r="D494" s="179">
        <v>46356</v>
      </c>
      <c r="E494" s="177" t="s">
        <v>550</v>
      </c>
      <c r="F494" s="178">
        <v>1</v>
      </c>
      <c r="G494" s="180"/>
      <c r="H494" s="178">
        <v>0</v>
      </c>
    </row>
    <row r="495" spans="1:8" ht="20.399999999999999" x14ac:dyDescent="0.3">
      <c r="A495" s="177" t="s">
        <v>208</v>
      </c>
      <c r="B495" s="177" t="s">
        <v>658</v>
      </c>
      <c r="C495" s="178">
        <v>82</v>
      </c>
      <c r="D495" s="179">
        <v>46356</v>
      </c>
      <c r="E495" s="177" t="s">
        <v>550</v>
      </c>
      <c r="F495" s="178">
        <v>4</v>
      </c>
      <c r="G495" s="180"/>
      <c r="H495" s="180"/>
    </row>
    <row r="496" spans="1:8" ht="20.399999999999999" x14ac:dyDescent="0.3">
      <c r="A496" s="177" t="s">
        <v>291</v>
      </c>
      <c r="B496" s="177" t="s">
        <v>658</v>
      </c>
      <c r="C496" s="178">
        <v>100</v>
      </c>
      <c r="D496" s="179">
        <v>46356</v>
      </c>
      <c r="E496" s="177" t="s">
        <v>550</v>
      </c>
      <c r="F496" s="178">
        <v>4</v>
      </c>
      <c r="G496" s="180"/>
      <c r="H496" s="180"/>
    </row>
    <row r="497" spans="1:8" ht="20.399999999999999" x14ac:dyDescent="0.3">
      <c r="A497" s="177" t="s">
        <v>276</v>
      </c>
      <c r="B497" s="177" t="s">
        <v>740</v>
      </c>
      <c r="C497" s="178">
        <v>22</v>
      </c>
      <c r="D497" s="179">
        <v>46356</v>
      </c>
      <c r="E497" s="177" t="s">
        <v>550</v>
      </c>
      <c r="F497" s="178">
        <v>4</v>
      </c>
      <c r="G497" s="180"/>
      <c r="H497" s="178">
        <v>0</v>
      </c>
    </row>
    <row r="498" spans="1:8" ht="20.399999999999999" x14ac:dyDescent="0.3">
      <c r="A498" s="177" t="s">
        <v>745</v>
      </c>
      <c r="B498" s="177" t="s">
        <v>662</v>
      </c>
      <c r="C498" s="178">
        <v>184</v>
      </c>
      <c r="D498" s="179">
        <v>46356</v>
      </c>
      <c r="E498" s="177" t="s">
        <v>550</v>
      </c>
      <c r="F498" s="178">
        <v>12</v>
      </c>
      <c r="G498" s="180"/>
      <c r="H498" s="180"/>
    </row>
    <row r="499" spans="1:8" ht="20.399999999999999" x14ac:dyDescent="0.3">
      <c r="A499" s="177" t="s">
        <v>28</v>
      </c>
      <c r="B499" s="177" t="s">
        <v>662</v>
      </c>
      <c r="C499" s="178">
        <v>188</v>
      </c>
      <c r="D499" s="179">
        <v>46356</v>
      </c>
      <c r="E499" s="177" t="s">
        <v>550</v>
      </c>
      <c r="F499" s="178">
        <v>24</v>
      </c>
      <c r="G499" s="180"/>
      <c r="H499" s="180"/>
    </row>
    <row r="500" spans="1:8" ht="20.399999999999999" x14ac:dyDescent="0.3">
      <c r="A500" s="177" t="s">
        <v>111</v>
      </c>
      <c r="B500" s="177" t="s">
        <v>662</v>
      </c>
      <c r="C500" s="178">
        <v>72</v>
      </c>
      <c r="D500" s="179">
        <v>46361</v>
      </c>
      <c r="E500" s="177" t="s">
        <v>550</v>
      </c>
      <c r="F500" s="178">
        <v>12</v>
      </c>
      <c r="G500" s="180"/>
      <c r="H500" s="180"/>
    </row>
    <row r="501" spans="1:8" ht="20.399999999999999" x14ac:dyDescent="0.3">
      <c r="A501" s="177" t="s">
        <v>208</v>
      </c>
      <c r="B501" s="177" t="s">
        <v>658</v>
      </c>
      <c r="C501" s="178">
        <v>78</v>
      </c>
      <c r="D501" s="179">
        <v>46361</v>
      </c>
      <c r="E501" s="177" t="s">
        <v>550</v>
      </c>
      <c r="F501" s="178">
        <v>4</v>
      </c>
      <c r="G501" s="178">
        <v>37</v>
      </c>
      <c r="H501" s="180"/>
    </row>
    <row r="502" spans="1:8" ht="20.399999999999999" x14ac:dyDescent="0.3">
      <c r="A502" s="177" t="s">
        <v>208</v>
      </c>
      <c r="B502" s="177" t="s">
        <v>658</v>
      </c>
      <c r="C502" s="178">
        <v>80</v>
      </c>
      <c r="D502" s="179">
        <v>46361</v>
      </c>
      <c r="E502" s="177" t="s">
        <v>550</v>
      </c>
      <c r="F502" s="178">
        <v>4</v>
      </c>
      <c r="G502" s="180"/>
      <c r="H502" s="180"/>
    </row>
    <row r="503" spans="1:8" ht="20.399999999999999" x14ac:dyDescent="0.3">
      <c r="A503" s="177" t="s">
        <v>291</v>
      </c>
      <c r="B503" s="177" t="s">
        <v>658</v>
      </c>
      <c r="C503" s="178">
        <v>96</v>
      </c>
      <c r="D503" s="179">
        <v>46361</v>
      </c>
      <c r="E503" s="177" t="s">
        <v>550</v>
      </c>
      <c r="F503" s="178">
        <v>4</v>
      </c>
      <c r="G503" s="178">
        <v>37</v>
      </c>
      <c r="H503" s="180"/>
    </row>
    <row r="504" spans="1:8" ht="20.399999999999999" x14ac:dyDescent="0.3">
      <c r="A504" s="177" t="s">
        <v>291</v>
      </c>
      <c r="B504" s="177" t="s">
        <v>658</v>
      </c>
      <c r="C504" s="178">
        <v>98</v>
      </c>
      <c r="D504" s="179">
        <v>46361</v>
      </c>
      <c r="E504" s="177" t="s">
        <v>550</v>
      </c>
      <c r="F504" s="178">
        <v>4</v>
      </c>
      <c r="G504" s="180"/>
      <c r="H504" s="180"/>
    </row>
    <row r="505" spans="1:8" ht="20.399999999999999" x14ac:dyDescent="0.3">
      <c r="A505" s="177" t="s">
        <v>111</v>
      </c>
      <c r="B505" s="177" t="s">
        <v>686</v>
      </c>
      <c r="C505" s="178">
        <v>172</v>
      </c>
      <c r="D505" s="179">
        <v>46361</v>
      </c>
      <c r="E505" s="177" t="s">
        <v>550</v>
      </c>
      <c r="F505" s="178">
        <v>1</v>
      </c>
      <c r="G505" s="180"/>
      <c r="H505" s="180"/>
    </row>
    <row r="506" spans="1:8" ht="20.399999999999999" x14ac:dyDescent="0.3">
      <c r="A506" s="177" t="s">
        <v>111</v>
      </c>
      <c r="B506" s="177" t="s">
        <v>686</v>
      </c>
      <c r="C506" s="178">
        <v>174</v>
      </c>
      <c r="D506" s="179">
        <v>46361</v>
      </c>
      <c r="E506" s="177" t="s">
        <v>550</v>
      </c>
      <c r="F506" s="178">
        <v>2</v>
      </c>
      <c r="G506" s="180"/>
      <c r="H506" s="180"/>
    </row>
    <row r="507" spans="1:8" ht="20.399999999999999" x14ac:dyDescent="0.3">
      <c r="A507" s="177" t="s">
        <v>111</v>
      </c>
      <c r="B507" s="177" t="s">
        <v>653</v>
      </c>
      <c r="C507" s="178">
        <v>60</v>
      </c>
      <c r="D507" s="179">
        <v>46361</v>
      </c>
      <c r="E507" s="177" t="s">
        <v>550</v>
      </c>
      <c r="F507" s="178">
        <v>1</v>
      </c>
      <c r="G507" s="180"/>
      <c r="H507" s="180"/>
    </row>
    <row r="508" spans="1:8" ht="20.399999999999999" x14ac:dyDescent="0.3">
      <c r="A508" s="177" t="s">
        <v>79</v>
      </c>
      <c r="B508" s="177" t="s">
        <v>686</v>
      </c>
      <c r="C508" s="178">
        <v>186</v>
      </c>
      <c r="D508" s="179">
        <v>46362</v>
      </c>
      <c r="E508" s="177" t="s">
        <v>550</v>
      </c>
      <c r="F508" s="178">
        <v>2</v>
      </c>
      <c r="G508" s="178">
        <v>29</v>
      </c>
      <c r="H508" s="180"/>
    </row>
    <row r="509" spans="1:8" ht="20.399999999999999" x14ac:dyDescent="0.3">
      <c r="A509" s="177" t="s">
        <v>590</v>
      </c>
      <c r="B509" s="177" t="s">
        <v>582</v>
      </c>
      <c r="C509" s="178">
        <v>178</v>
      </c>
      <c r="D509" s="179">
        <v>46362</v>
      </c>
      <c r="E509" s="177" t="s">
        <v>550</v>
      </c>
      <c r="F509" s="178">
        <v>5</v>
      </c>
      <c r="G509" s="180"/>
      <c r="H509" s="180"/>
    </row>
    <row r="510" spans="1:8" ht="20.399999999999999" x14ac:dyDescent="0.3">
      <c r="A510" s="177" t="s">
        <v>128</v>
      </c>
      <c r="B510" s="177" t="s">
        <v>582</v>
      </c>
      <c r="C510" s="178">
        <v>262</v>
      </c>
      <c r="D510" s="179">
        <v>46363</v>
      </c>
      <c r="E510" s="177" t="s">
        <v>550</v>
      </c>
      <c r="F510" s="178">
        <v>8</v>
      </c>
      <c r="G510" s="180"/>
      <c r="H510" s="180"/>
    </row>
    <row r="511" spans="1:8" ht="20.399999999999999" x14ac:dyDescent="0.3">
      <c r="A511" s="177" t="s">
        <v>32</v>
      </c>
      <c r="B511" s="177" t="s">
        <v>658</v>
      </c>
      <c r="C511" s="178">
        <v>250</v>
      </c>
      <c r="D511" s="179">
        <v>46363</v>
      </c>
      <c r="E511" s="177" t="s">
        <v>550</v>
      </c>
      <c r="F511" s="178">
        <v>3</v>
      </c>
      <c r="G511" s="180"/>
      <c r="H511" s="178">
        <v>9</v>
      </c>
    </row>
    <row r="512" spans="1:8" ht="20.399999999999999" x14ac:dyDescent="0.3">
      <c r="A512" s="177" t="s">
        <v>196</v>
      </c>
      <c r="B512" s="177" t="s">
        <v>658</v>
      </c>
      <c r="C512" s="178">
        <v>374</v>
      </c>
      <c r="D512" s="179">
        <v>46363</v>
      </c>
      <c r="E512" s="177" t="s">
        <v>550</v>
      </c>
      <c r="F512" s="178">
        <v>2</v>
      </c>
      <c r="G512" s="180"/>
      <c r="H512" s="180"/>
    </row>
    <row r="513" spans="1:8" ht="20.399999999999999" x14ac:dyDescent="0.3">
      <c r="A513" s="177" t="s">
        <v>195</v>
      </c>
      <c r="B513" s="177" t="s">
        <v>658</v>
      </c>
      <c r="C513" s="178">
        <v>260</v>
      </c>
      <c r="D513" s="179">
        <v>46363</v>
      </c>
      <c r="E513" s="177" t="s">
        <v>550</v>
      </c>
      <c r="F513" s="178">
        <v>12</v>
      </c>
      <c r="G513" s="180"/>
      <c r="H513" s="180"/>
    </row>
    <row r="514" spans="1:8" ht="20.399999999999999" x14ac:dyDescent="0.3">
      <c r="A514" s="177" t="s">
        <v>216</v>
      </c>
      <c r="B514" s="177" t="s">
        <v>661</v>
      </c>
      <c r="C514" s="178">
        <v>416</v>
      </c>
      <c r="D514" s="179">
        <v>46363</v>
      </c>
      <c r="E514" s="177" t="s">
        <v>550</v>
      </c>
      <c r="F514" s="178">
        <v>11</v>
      </c>
      <c r="G514" s="180"/>
      <c r="H514" s="180"/>
    </row>
    <row r="515" spans="1:8" ht="20.399999999999999" x14ac:dyDescent="0.3">
      <c r="A515" s="177" t="s">
        <v>747</v>
      </c>
      <c r="B515" s="177" t="s">
        <v>662</v>
      </c>
      <c r="C515" s="178">
        <v>234</v>
      </c>
      <c r="D515" s="179">
        <v>46363</v>
      </c>
      <c r="E515" s="177" t="s">
        <v>550</v>
      </c>
      <c r="F515" s="178">
        <v>4</v>
      </c>
      <c r="G515" s="180"/>
      <c r="H515" s="180"/>
    </row>
    <row r="516" spans="1:8" ht="20.399999999999999" x14ac:dyDescent="0.3">
      <c r="A516" s="177" t="s">
        <v>747</v>
      </c>
      <c r="B516" s="177" t="s">
        <v>662</v>
      </c>
      <c r="C516" s="178">
        <v>238</v>
      </c>
      <c r="D516" s="179">
        <v>46363</v>
      </c>
      <c r="E516" s="177" t="s">
        <v>550</v>
      </c>
      <c r="F516" s="178">
        <v>12</v>
      </c>
      <c r="G516" s="180"/>
      <c r="H516" s="180"/>
    </row>
    <row r="517" spans="1:8" ht="20.399999999999999" x14ac:dyDescent="0.3">
      <c r="A517" s="177" t="s">
        <v>37</v>
      </c>
      <c r="B517" s="177" t="s">
        <v>634</v>
      </c>
      <c r="C517" s="178">
        <v>40</v>
      </c>
      <c r="D517" s="179">
        <v>46363</v>
      </c>
      <c r="E517" s="177" t="s">
        <v>550</v>
      </c>
      <c r="F517" s="178">
        <v>6</v>
      </c>
      <c r="G517" s="180"/>
      <c r="H517" s="180"/>
    </row>
    <row r="518" spans="1:8" ht="20.399999999999999" x14ac:dyDescent="0.3">
      <c r="A518" s="177" t="s">
        <v>174</v>
      </c>
      <c r="B518" s="177" t="s">
        <v>702</v>
      </c>
      <c r="C518" s="178">
        <v>16</v>
      </c>
      <c r="D518" s="179">
        <v>46363</v>
      </c>
      <c r="E518" s="177" t="s">
        <v>550</v>
      </c>
      <c r="F518" s="178">
        <v>1</v>
      </c>
      <c r="G518" s="180"/>
      <c r="H518" s="180"/>
    </row>
    <row r="519" spans="1:8" ht="20.399999999999999" x14ac:dyDescent="0.3">
      <c r="A519" s="177" t="s">
        <v>294</v>
      </c>
      <c r="B519" s="177" t="s">
        <v>662</v>
      </c>
      <c r="C519" s="178">
        <v>378</v>
      </c>
      <c r="D519" s="179">
        <v>46363</v>
      </c>
      <c r="E519" s="177" t="s">
        <v>550</v>
      </c>
      <c r="F519" s="178">
        <v>12</v>
      </c>
      <c r="G519" s="180"/>
      <c r="H519" s="180"/>
    </row>
    <row r="520" spans="1:8" ht="20.399999999999999" x14ac:dyDescent="0.3">
      <c r="A520" s="177" t="s">
        <v>216</v>
      </c>
      <c r="B520" s="177" t="s">
        <v>662</v>
      </c>
      <c r="C520" s="178">
        <v>384</v>
      </c>
      <c r="D520" s="179">
        <v>46364</v>
      </c>
      <c r="E520" s="177" t="s">
        <v>550</v>
      </c>
      <c r="F520" s="178">
        <v>48</v>
      </c>
      <c r="G520" s="180"/>
      <c r="H520" s="180"/>
    </row>
    <row r="521" spans="1:8" ht="20.399999999999999" x14ac:dyDescent="0.3">
      <c r="A521" s="177" t="s">
        <v>444</v>
      </c>
      <c r="B521" s="177" t="s">
        <v>652</v>
      </c>
      <c r="C521" s="178">
        <v>22</v>
      </c>
      <c r="D521" s="179">
        <v>46364</v>
      </c>
      <c r="E521" s="177" t="s">
        <v>550</v>
      </c>
      <c r="F521" s="178">
        <v>24</v>
      </c>
      <c r="G521" s="180"/>
      <c r="H521" s="178">
        <v>10</v>
      </c>
    </row>
    <row r="522" spans="1:8" ht="20.399999999999999" x14ac:dyDescent="0.3">
      <c r="A522" s="177" t="s">
        <v>152</v>
      </c>
      <c r="B522" s="177" t="s">
        <v>662</v>
      </c>
      <c r="C522" s="178">
        <v>174</v>
      </c>
      <c r="D522" s="179">
        <v>46364</v>
      </c>
      <c r="E522" s="177" t="s">
        <v>550</v>
      </c>
      <c r="F522" s="178">
        <v>12</v>
      </c>
      <c r="G522" s="180"/>
      <c r="H522" s="180"/>
    </row>
    <row r="523" spans="1:8" ht="20.399999999999999" x14ac:dyDescent="0.3">
      <c r="A523" s="177" t="s">
        <v>216</v>
      </c>
      <c r="B523" s="177" t="s">
        <v>651</v>
      </c>
      <c r="C523" s="178">
        <v>98</v>
      </c>
      <c r="D523" s="179">
        <v>46364</v>
      </c>
      <c r="E523" s="177" t="s">
        <v>550</v>
      </c>
      <c r="F523" s="178">
        <v>4</v>
      </c>
      <c r="G523" s="180"/>
      <c r="H523" s="180"/>
    </row>
    <row r="524" spans="1:8" ht="20.399999999999999" x14ac:dyDescent="0.3">
      <c r="A524" s="177" t="s">
        <v>748</v>
      </c>
      <c r="B524" s="177" t="s">
        <v>552</v>
      </c>
      <c r="C524" s="178">
        <v>314</v>
      </c>
      <c r="D524" s="179">
        <v>46364</v>
      </c>
      <c r="E524" s="177" t="s">
        <v>550</v>
      </c>
      <c r="F524" s="178">
        <v>2</v>
      </c>
      <c r="G524" s="180"/>
      <c r="H524" s="180"/>
    </row>
    <row r="525" spans="1:8" ht="20.399999999999999" x14ac:dyDescent="0.3">
      <c r="A525" s="177" t="s">
        <v>174</v>
      </c>
      <c r="B525" s="177" t="s">
        <v>662</v>
      </c>
      <c r="C525" s="178">
        <v>26</v>
      </c>
      <c r="D525" s="179">
        <v>46365</v>
      </c>
      <c r="E525" s="177" t="s">
        <v>550</v>
      </c>
      <c r="F525" s="178">
        <v>12</v>
      </c>
      <c r="G525" s="180"/>
      <c r="H525" s="180"/>
    </row>
    <row r="526" spans="1:8" ht="20.399999999999999" x14ac:dyDescent="0.3">
      <c r="A526" s="177" t="s">
        <v>185</v>
      </c>
      <c r="B526" s="177" t="s">
        <v>701</v>
      </c>
      <c r="C526" s="178">
        <v>36</v>
      </c>
      <c r="D526" s="179">
        <v>46366</v>
      </c>
      <c r="E526" s="177" t="s">
        <v>550</v>
      </c>
      <c r="F526" s="178">
        <v>48</v>
      </c>
      <c r="G526" s="180"/>
      <c r="H526" s="180"/>
    </row>
    <row r="527" spans="1:8" ht="20.399999999999999" x14ac:dyDescent="0.3">
      <c r="A527" s="177" t="s">
        <v>185</v>
      </c>
      <c r="B527" s="177" t="s">
        <v>702</v>
      </c>
      <c r="C527" s="178">
        <v>4</v>
      </c>
      <c r="D527" s="179">
        <v>46366</v>
      </c>
      <c r="E527" s="177" t="s">
        <v>550</v>
      </c>
      <c r="F527" s="178">
        <v>10</v>
      </c>
      <c r="G527" s="178">
        <v>55</v>
      </c>
      <c r="H527" s="180"/>
    </row>
    <row r="528" spans="1:8" ht="20.399999999999999" x14ac:dyDescent="0.3">
      <c r="A528" s="177" t="s">
        <v>249</v>
      </c>
      <c r="B528" s="177" t="s">
        <v>662</v>
      </c>
      <c r="C528" s="178">
        <v>138</v>
      </c>
      <c r="D528" s="179">
        <v>46368</v>
      </c>
      <c r="E528" s="177" t="s">
        <v>550</v>
      </c>
      <c r="F528" s="178">
        <v>12</v>
      </c>
      <c r="G528" s="180"/>
      <c r="H528" s="180"/>
    </row>
    <row r="529" spans="1:8" ht="20.399999999999999" x14ac:dyDescent="0.3">
      <c r="A529" s="177" t="s">
        <v>749</v>
      </c>
      <c r="B529" s="177" t="s">
        <v>662</v>
      </c>
      <c r="C529" s="178">
        <v>232</v>
      </c>
      <c r="D529" s="179">
        <v>46368</v>
      </c>
      <c r="E529" s="177" t="s">
        <v>550</v>
      </c>
      <c r="F529" s="178">
        <v>12</v>
      </c>
      <c r="G529" s="180"/>
      <c r="H529" s="180"/>
    </row>
    <row r="530" spans="1:8" ht="20.399999999999999" x14ac:dyDescent="0.3">
      <c r="A530" s="177" t="s">
        <v>749</v>
      </c>
      <c r="B530" s="177" t="s">
        <v>649</v>
      </c>
      <c r="C530" s="178">
        <v>288</v>
      </c>
      <c r="D530" s="179">
        <v>46368</v>
      </c>
      <c r="E530" s="177" t="s">
        <v>550</v>
      </c>
      <c r="F530" s="178">
        <v>2</v>
      </c>
      <c r="G530" s="180"/>
      <c r="H530" s="180"/>
    </row>
    <row r="531" spans="1:8" ht="20.399999999999999" x14ac:dyDescent="0.3">
      <c r="A531" s="177" t="s">
        <v>749</v>
      </c>
      <c r="B531" s="177" t="s">
        <v>686</v>
      </c>
      <c r="C531" s="178">
        <v>166</v>
      </c>
      <c r="D531" s="179">
        <v>46368</v>
      </c>
      <c r="E531" s="177" t="s">
        <v>550</v>
      </c>
      <c r="F531" s="178">
        <v>5</v>
      </c>
      <c r="G531" s="180"/>
      <c r="H531" s="180"/>
    </row>
    <row r="532" spans="1:8" ht="20.399999999999999" x14ac:dyDescent="0.3">
      <c r="A532" s="177" t="s">
        <v>471</v>
      </c>
      <c r="B532" s="177" t="s">
        <v>632</v>
      </c>
      <c r="C532" s="178">
        <v>16</v>
      </c>
      <c r="D532" s="179">
        <v>46370</v>
      </c>
      <c r="E532" s="177" t="s">
        <v>550</v>
      </c>
      <c r="F532" s="178">
        <v>24</v>
      </c>
      <c r="G532" s="180"/>
      <c r="H532" s="178">
        <v>1</v>
      </c>
    </row>
    <row r="533" spans="1:8" ht="20.399999999999999" x14ac:dyDescent="0.3">
      <c r="A533" s="177" t="s">
        <v>168</v>
      </c>
      <c r="B533" s="177" t="s">
        <v>740</v>
      </c>
      <c r="C533" s="178">
        <v>54</v>
      </c>
      <c r="D533" s="179">
        <v>46370</v>
      </c>
      <c r="E533" s="177" t="s">
        <v>550</v>
      </c>
      <c r="F533" s="178">
        <v>12</v>
      </c>
      <c r="G533" s="180"/>
      <c r="H533" s="178">
        <v>0</v>
      </c>
    </row>
    <row r="534" spans="1:8" ht="20.399999999999999" x14ac:dyDescent="0.3">
      <c r="A534" s="177" t="s">
        <v>80</v>
      </c>
      <c r="B534" s="177" t="s">
        <v>662</v>
      </c>
      <c r="C534" s="178">
        <v>48</v>
      </c>
      <c r="D534" s="179">
        <v>46370</v>
      </c>
      <c r="E534" s="177" t="s">
        <v>550</v>
      </c>
      <c r="F534" s="178">
        <v>15</v>
      </c>
      <c r="G534" s="180"/>
      <c r="H534" s="180"/>
    </row>
    <row r="535" spans="1:8" ht="20.399999999999999" x14ac:dyDescent="0.3">
      <c r="A535" s="177" t="s">
        <v>80</v>
      </c>
      <c r="B535" s="177" t="s">
        <v>662</v>
      </c>
      <c r="C535" s="178">
        <v>50</v>
      </c>
      <c r="D535" s="179">
        <v>46370</v>
      </c>
      <c r="E535" s="177" t="s">
        <v>550</v>
      </c>
      <c r="F535" s="178">
        <v>36</v>
      </c>
      <c r="G535" s="180"/>
      <c r="H535" s="180"/>
    </row>
    <row r="536" spans="1:8" ht="20.399999999999999" x14ac:dyDescent="0.3">
      <c r="A536" s="177" t="s">
        <v>272</v>
      </c>
      <c r="B536" s="177" t="s">
        <v>702</v>
      </c>
      <c r="C536" s="178">
        <v>2</v>
      </c>
      <c r="D536" s="179">
        <v>46373</v>
      </c>
      <c r="E536" s="177" t="s">
        <v>550</v>
      </c>
      <c r="F536" s="178">
        <v>12</v>
      </c>
      <c r="G536" s="178">
        <v>55</v>
      </c>
      <c r="H536" s="180"/>
    </row>
    <row r="537" spans="1:8" ht="20.399999999999999" x14ac:dyDescent="0.3">
      <c r="A537" s="177" t="s">
        <v>272</v>
      </c>
      <c r="B537" s="177" t="s">
        <v>701</v>
      </c>
      <c r="C537" s="178">
        <v>28</v>
      </c>
      <c r="D537" s="179">
        <v>46373</v>
      </c>
      <c r="E537" s="177" t="s">
        <v>550</v>
      </c>
      <c r="F537" s="178">
        <v>48</v>
      </c>
      <c r="G537" s="180"/>
      <c r="H537" s="180"/>
    </row>
    <row r="538" spans="1:8" ht="20.399999999999999" x14ac:dyDescent="0.3">
      <c r="A538" s="177" t="s">
        <v>170</v>
      </c>
      <c r="B538" s="177" t="s">
        <v>695</v>
      </c>
      <c r="C538" s="178">
        <v>70</v>
      </c>
      <c r="D538" s="179">
        <v>46373</v>
      </c>
      <c r="E538" s="177" t="s">
        <v>550</v>
      </c>
      <c r="F538" s="178">
        <v>24</v>
      </c>
      <c r="G538" s="180"/>
      <c r="H538" s="178">
        <v>0</v>
      </c>
    </row>
    <row r="539" spans="1:8" ht="20.399999999999999" x14ac:dyDescent="0.3">
      <c r="A539" s="177" t="s">
        <v>680</v>
      </c>
      <c r="B539" s="177" t="s">
        <v>695</v>
      </c>
      <c r="C539" s="178">
        <v>60</v>
      </c>
      <c r="D539" s="179">
        <v>46375</v>
      </c>
      <c r="E539" s="177" t="s">
        <v>550</v>
      </c>
      <c r="F539" s="178">
        <v>48</v>
      </c>
      <c r="G539" s="180"/>
      <c r="H539" s="180"/>
    </row>
    <row r="540" spans="1:8" ht="20.399999999999999" x14ac:dyDescent="0.3">
      <c r="A540" s="177" t="s">
        <v>750</v>
      </c>
      <c r="B540" s="177" t="s">
        <v>662</v>
      </c>
      <c r="C540" s="178">
        <v>34</v>
      </c>
      <c r="D540" s="179">
        <v>46376</v>
      </c>
      <c r="E540" s="177" t="s">
        <v>550</v>
      </c>
      <c r="F540" s="178">
        <v>11</v>
      </c>
      <c r="G540" s="180"/>
      <c r="H540" s="180"/>
    </row>
    <row r="541" spans="1:8" ht="20.399999999999999" x14ac:dyDescent="0.3">
      <c r="A541" s="177" t="s">
        <v>751</v>
      </c>
      <c r="B541" s="177" t="s">
        <v>686</v>
      </c>
      <c r="C541" s="178">
        <v>76</v>
      </c>
      <c r="D541" s="179">
        <v>46376</v>
      </c>
      <c r="E541" s="177" t="s">
        <v>550</v>
      </c>
      <c r="F541" s="178">
        <v>5</v>
      </c>
      <c r="G541" s="180"/>
      <c r="H541" s="180"/>
    </row>
    <row r="542" spans="1:8" ht="20.399999999999999" x14ac:dyDescent="0.3">
      <c r="A542" s="177" t="s">
        <v>751</v>
      </c>
      <c r="B542" s="177" t="s">
        <v>686</v>
      </c>
      <c r="C542" s="178">
        <v>78</v>
      </c>
      <c r="D542" s="179">
        <v>46376</v>
      </c>
      <c r="E542" s="177" t="s">
        <v>550</v>
      </c>
      <c r="F542" s="178">
        <v>12</v>
      </c>
      <c r="G542" s="180"/>
      <c r="H542" s="180"/>
    </row>
    <row r="543" spans="1:8" ht="20.399999999999999" x14ac:dyDescent="0.3">
      <c r="A543" s="177" t="s">
        <v>118</v>
      </c>
      <c r="B543" s="177" t="s">
        <v>582</v>
      </c>
      <c r="C543" s="178">
        <v>386</v>
      </c>
      <c r="D543" s="179">
        <v>46377</v>
      </c>
      <c r="E543" s="177" t="s">
        <v>550</v>
      </c>
      <c r="F543" s="178">
        <v>6</v>
      </c>
      <c r="G543" s="180"/>
      <c r="H543" s="180"/>
    </row>
    <row r="544" spans="1:8" ht="20.399999999999999" x14ac:dyDescent="0.3">
      <c r="A544" s="177" t="s">
        <v>117</v>
      </c>
      <c r="B544" s="177" t="s">
        <v>582</v>
      </c>
      <c r="C544" s="178">
        <v>364</v>
      </c>
      <c r="D544" s="179">
        <v>46377</v>
      </c>
      <c r="E544" s="177" t="s">
        <v>550</v>
      </c>
      <c r="F544" s="178">
        <v>12</v>
      </c>
      <c r="G544" s="180"/>
      <c r="H544" s="180"/>
    </row>
    <row r="545" spans="1:8" ht="20.399999999999999" x14ac:dyDescent="0.3">
      <c r="A545" s="177" t="s">
        <v>303</v>
      </c>
      <c r="B545" s="177" t="s">
        <v>582</v>
      </c>
      <c r="C545" s="178">
        <v>352</v>
      </c>
      <c r="D545" s="179">
        <v>46377</v>
      </c>
      <c r="E545" s="177" t="s">
        <v>550</v>
      </c>
      <c r="F545" s="178">
        <v>18</v>
      </c>
      <c r="G545" s="180"/>
      <c r="H545" s="178">
        <v>52</v>
      </c>
    </row>
    <row r="546" spans="1:8" ht="20.399999999999999" x14ac:dyDescent="0.3">
      <c r="A546" s="177" t="s">
        <v>261</v>
      </c>
      <c r="B546" s="177" t="s">
        <v>656</v>
      </c>
      <c r="C546" s="178">
        <v>8</v>
      </c>
      <c r="D546" s="179">
        <v>46377</v>
      </c>
      <c r="E546" s="177" t="s">
        <v>550</v>
      </c>
      <c r="F546" s="178">
        <v>12</v>
      </c>
      <c r="G546" s="180"/>
      <c r="H546" s="180"/>
    </row>
    <row r="547" spans="1:8" ht="20.399999999999999" x14ac:dyDescent="0.3">
      <c r="A547" s="177" t="s">
        <v>221</v>
      </c>
      <c r="B547" s="177" t="s">
        <v>669</v>
      </c>
      <c r="C547" s="178">
        <v>40</v>
      </c>
      <c r="D547" s="179">
        <v>46377</v>
      </c>
      <c r="E547" s="177" t="s">
        <v>550</v>
      </c>
      <c r="F547" s="178">
        <v>4</v>
      </c>
      <c r="G547" s="180"/>
      <c r="H547" s="180"/>
    </row>
    <row r="548" spans="1:8" ht="20.399999999999999" x14ac:dyDescent="0.3">
      <c r="A548" s="177" t="s">
        <v>156</v>
      </c>
      <c r="B548" s="177" t="s">
        <v>701</v>
      </c>
      <c r="C548" s="178">
        <v>10</v>
      </c>
      <c r="D548" s="179">
        <v>46377</v>
      </c>
      <c r="E548" s="177" t="s">
        <v>550</v>
      </c>
      <c r="F548" s="178">
        <v>4</v>
      </c>
      <c r="G548" s="178">
        <v>35</v>
      </c>
      <c r="H548" s="180"/>
    </row>
    <row r="549" spans="1:8" ht="20.399999999999999" x14ac:dyDescent="0.3">
      <c r="A549" s="177" t="s">
        <v>103</v>
      </c>
      <c r="B549" s="177" t="s">
        <v>656</v>
      </c>
      <c r="C549" s="178">
        <v>72</v>
      </c>
      <c r="D549" s="179">
        <v>46377</v>
      </c>
      <c r="E549" s="177" t="s">
        <v>550</v>
      </c>
      <c r="F549" s="178">
        <v>6</v>
      </c>
      <c r="G549" s="180"/>
      <c r="H549" s="180"/>
    </row>
    <row r="550" spans="1:8" ht="20.399999999999999" x14ac:dyDescent="0.3">
      <c r="A550" s="177" t="s">
        <v>300</v>
      </c>
      <c r="B550" s="177" t="s">
        <v>634</v>
      </c>
      <c r="C550" s="178">
        <v>12</v>
      </c>
      <c r="D550" s="179">
        <v>46377</v>
      </c>
      <c r="E550" s="177" t="s">
        <v>550</v>
      </c>
      <c r="F550" s="178">
        <v>8</v>
      </c>
      <c r="G550" s="178">
        <v>80</v>
      </c>
      <c r="H550" s="180"/>
    </row>
    <row r="551" spans="1:8" ht="20.399999999999999" x14ac:dyDescent="0.3">
      <c r="A551" s="177" t="s">
        <v>341</v>
      </c>
      <c r="B551" s="177" t="s">
        <v>656</v>
      </c>
      <c r="C551" s="178">
        <v>52</v>
      </c>
      <c r="D551" s="179">
        <v>46377</v>
      </c>
      <c r="E551" s="177" t="s">
        <v>550</v>
      </c>
      <c r="F551" s="178">
        <v>6</v>
      </c>
      <c r="G551" s="178">
        <v>27</v>
      </c>
      <c r="H551" s="180"/>
    </row>
    <row r="552" spans="1:8" ht="20.399999999999999" x14ac:dyDescent="0.3">
      <c r="A552" s="177" t="s">
        <v>115</v>
      </c>
      <c r="B552" s="177" t="s">
        <v>634</v>
      </c>
      <c r="C552" s="178">
        <v>54</v>
      </c>
      <c r="D552" s="179">
        <v>46377</v>
      </c>
      <c r="E552" s="177" t="s">
        <v>550</v>
      </c>
      <c r="F552" s="178">
        <v>12</v>
      </c>
      <c r="G552" s="180"/>
      <c r="H552" s="180"/>
    </row>
    <row r="553" spans="1:8" ht="20.399999999999999" x14ac:dyDescent="0.3">
      <c r="A553" s="177" t="s">
        <v>752</v>
      </c>
      <c r="B553" s="177" t="s">
        <v>753</v>
      </c>
      <c r="C553" s="178">
        <v>2</v>
      </c>
      <c r="D553" s="179">
        <v>46377</v>
      </c>
      <c r="E553" s="177" t="s">
        <v>550</v>
      </c>
      <c r="F553" s="178">
        <v>4</v>
      </c>
      <c r="G553" s="180"/>
      <c r="H553" s="180"/>
    </row>
    <row r="554" spans="1:8" ht="20.399999999999999" x14ac:dyDescent="0.3">
      <c r="A554" s="177" t="s">
        <v>161</v>
      </c>
      <c r="B554" s="177" t="s">
        <v>658</v>
      </c>
      <c r="C554" s="178">
        <v>76</v>
      </c>
      <c r="D554" s="179">
        <v>46377</v>
      </c>
      <c r="E554" s="177" t="s">
        <v>550</v>
      </c>
      <c r="F554" s="178">
        <v>32</v>
      </c>
      <c r="G554" s="180"/>
      <c r="H554" s="180"/>
    </row>
    <row r="555" spans="1:8" ht="20.399999999999999" x14ac:dyDescent="0.3">
      <c r="A555" s="177" t="s">
        <v>243</v>
      </c>
      <c r="B555" s="177" t="s">
        <v>658</v>
      </c>
      <c r="C555" s="178">
        <v>50</v>
      </c>
      <c r="D555" s="179">
        <v>46377</v>
      </c>
      <c r="E555" s="177" t="s">
        <v>550</v>
      </c>
      <c r="F555" s="178">
        <v>24</v>
      </c>
      <c r="G555" s="180"/>
      <c r="H555" s="180"/>
    </row>
    <row r="556" spans="1:8" ht="20.399999999999999" x14ac:dyDescent="0.3">
      <c r="A556" s="177" t="s">
        <v>96</v>
      </c>
      <c r="B556" s="177" t="s">
        <v>658</v>
      </c>
      <c r="C556" s="178">
        <v>386</v>
      </c>
      <c r="D556" s="179">
        <v>46377</v>
      </c>
      <c r="E556" s="177" t="s">
        <v>550</v>
      </c>
      <c r="F556" s="178">
        <v>24</v>
      </c>
      <c r="G556" s="180"/>
      <c r="H556" s="180"/>
    </row>
    <row r="557" spans="1:8" ht="20.399999999999999" x14ac:dyDescent="0.3">
      <c r="A557" s="177" t="s">
        <v>143</v>
      </c>
      <c r="B557" s="177" t="s">
        <v>658</v>
      </c>
      <c r="C557" s="178">
        <v>390</v>
      </c>
      <c r="D557" s="179">
        <v>46377</v>
      </c>
      <c r="E557" s="177" t="s">
        <v>550</v>
      </c>
      <c r="F557" s="178">
        <v>6</v>
      </c>
      <c r="G557" s="180"/>
      <c r="H557" s="180"/>
    </row>
    <row r="558" spans="1:8" ht="20.399999999999999" x14ac:dyDescent="0.3">
      <c r="A558" s="177" t="s">
        <v>301</v>
      </c>
      <c r="B558" s="177" t="s">
        <v>658</v>
      </c>
      <c r="C558" s="178">
        <v>404</v>
      </c>
      <c r="D558" s="179">
        <v>46377</v>
      </c>
      <c r="E558" s="177" t="s">
        <v>550</v>
      </c>
      <c r="F558" s="178">
        <v>4</v>
      </c>
      <c r="G558" s="178">
        <v>50</v>
      </c>
      <c r="H558" s="180"/>
    </row>
    <row r="559" spans="1:8" ht="20.399999999999999" x14ac:dyDescent="0.3">
      <c r="A559" s="177" t="s">
        <v>196</v>
      </c>
      <c r="B559" s="177" t="s">
        <v>658</v>
      </c>
      <c r="C559" s="178">
        <v>382</v>
      </c>
      <c r="D559" s="179">
        <v>46377</v>
      </c>
      <c r="E559" s="177" t="s">
        <v>550</v>
      </c>
      <c r="F559" s="178">
        <v>8</v>
      </c>
      <c r="G559" s="180"/>
      <c r="H559" s="180"/>
    </row>
    <row r="560" spans="1:8" ht="20.399999999999999" x14ac:dyDescent="0.3">
      <c r="A560" s="177" t="s">
        <v>280</v>
      </c>
      <c r="B560" s="177" t="s">
        <v>658</v>
      </c>
      <c r="C560" s="178">
        <v>412</v>
      </c>
      <c r="D560" s="179">
        <v>46377</v>
      </c>
      <c r="E560" s="177" t="s">
        <v>550</v>
      </c>
      <c r="F560" s="178">
        <v>32</v>
      </c>
      <c r="G560" s="180"/>
      <c r="H560" s="178">
        <v>114</v>
      </c>
    </row>
    <row r="561" spans="1:8" ht="20.399999999999999" x14ac:dyDescent="0.3">
      <c r="A561" s="177" t="s">
        <v>284</v>
      </c>
      <c r="B561" s="177" t="s">
        <v>658</v>
      </c>
      <c r="C561" s="178">
        <v>418</v>
      </c>
      <c r="D561" s="179">
        <v>46377</v>
      </c>
      <c r="E561" s="177" t="s">
        <v>550</v>
      </c>
      <c r="F561" s="178">
        <v>4</v>
      </c>
      <c r="G561" s="178">
        <v>25</v>
      </c>
      <c r="H561" s="180"/>
    </row>
    <row r="562" spans="1:8" ht="20.399999999999999" x14ac:dyDescent="0.3">
      <c r="A562" s="177" t="s">
        <v>202</v>
      </c>
      <c r="B562" s="177" t="s">
        <v>658</v>
      </c>
      <c r="C562" s="178">
        <v>424</v>
      </c>
      <c r="D562" s="179">
        <v>46377</v>
      </c>
      <c r="E562" s="177" t="s">
        <v>550</v>
      </c>
      <c r="F562" s="178">
        <v>4</v>
      </c>
      <c r="G562" s="178">
        <v>25</v>
      </c>
      <c r="H562" s="180"/>
    </row>
    <row r="563" spans="1:8" ht="20.399999999999999" x14ac:dyDescent="0.3">
      <c r="A563" s="177" t="s">
        <v>285</v>
      </c>
      <c r="B563" s="177" t="s">
        <v>658</v>
      </c>
      <c r="C563" s="178">
        <v>430</v>
      </c>
      <c r="D563" s="179">
        <v>46377</v>
      </c>
      <c r="E563" s="177" t="s">
        <v>550</v>
      </c>
      <c r="F563" s="178">
        <v>4</v>
      </c>
      <c r="G563" s="178">
        <v>15</v>
      </c>
      <c r="H563" s="180"/>
    </row>
    <row r="564" spans="1:8" ht="20.399999999999999" x14ac:dyDescent="0.3">
      <c r="A564" s="177" t="s">
        <v>286</v>
      </c>
      <c r="B564" s="177" t="s">
        <v>658</v>
      </c>
      <c r="C564" s="178">
        <v>436</v>
      </c>
      <c r="D564" s="179">
        <v>46377</v>
      </c>
      <c r="E564" s="177" t="s">
        <v>550</v>
      </c>
      <c r="F564" s="178">
        <v>4</v>
      </c>
      <c r="G564" s="178">
        <v>35</v>
      </c>
      <c r="H564" s="180"/>
    </row>
    <row r="565" spans="1:8" ht="20.399999999999999" x14ac:dyDescent="0.3">
      <c r="A565" s="177" t="s">
        <v>306</v>
      </c>
      <c r="B565" s="177" t="s">
        <v>658</v>
      </c>
      <c r="C565" s="178">
        <v>202</v>
      </c>
      <c r="D565" s="179">
        <v>46377</v>
      </c>
      <c r="E565" s="177" t="s">
        <v>550</v>
      </c>
      <c r="F565" s="178">
        <v>16</v>
      </c>
      <c r="G565" s="180"/>
      <c r="H565" s="180"/>
    </row>
    <row r="566" spans="1:8" ht="20.399999999999999" x14ac:dyDescent="0.3">
      <c r="A566" s="177" t="s">
        <v>54</v>
      </c>
      <c r="B566" s="177" t="s">
        <v>651</v>
      </c>
      <c r="C566" s="178">
        <v>114</v>
      </c>
      <c r="D566" s="179">
        <v>46378</v>
      </c>
      <c r="E566" s="177" t="s">
        <v>550</v>
      </c>
      <c r="F566" s="178">
        <v>1</v>
      </c>
      <c r="G566" s="180"/>
      <c r="H566" s="180"/>
    </row>
    <row r="567" spans="1:8" ht="20.399999999999999" x14ac:dyDescent="0.3">
      <c r="A567" s="177" t="s">
        <v>281</v>
      </c>
      <c r="B567" s="177" t="s">
        <v>669</v>
      </c>
      <c r="C567" s="178">
        <v>2</v>
      </c>
      <c r="D567" s="179">
        <v>46379</v>
      </c>
      <c r="E567" s="177" t="s">
        <v>550</v>
      </c>
      <c r="F567" s="178">
        <v>8</v>
      </c>
      <c r="G567" s="180"/>
      <c r="H567" s="180"/>
    </row>
    <row r="568" spans="1:8" ht="20.399999999999999" x14ac:dyDescent="0.3">
      <c r="A568" s="177" t="s">
        <v>141</v>
      </c>
      <c r="B568" s="177" t="s">
        <v>669</v>
      </c>
      <c r="C568" s="178">
        <v>24</v>
      </c>
      <c r="D568" s="179">
        <v>46379</v>
      </c>
      <c r="E568" s="177" t="s">
        <v>550</v>
      </c>
      <c r="F568" s="178">
        <v>8</v>
      </c>
      <c r="G568" s="180"/>
      <c r="H568" s="180"/>
    </row>
    <row r="569" spans="1:8" ht="20.399999999999999" x14ac:dyDescent="0.3">
      <c r="A569" s="177" t="s">
        <v>193</v>
      </c>
      <c r="B569" s="177" t="s">
        <v>669</v>
      </c>
      <c r="C569" s="178">
        <v>26</v>
      </c>
      <c r="D569" s="179">
        <v>46379</v>
      </c>
      <c r="E569" s="177" t="s">
        <v>550</v>
      </c>
      <c r="F569" s="178">
        <v>8</v>
      </c>
      <c r="G569" s="180"/>
      <c r="H569" s="180"/>
    </row>
    <row r="570" spans="1:8" ht="20.399999999999999" x14ac:dyDescent="0.3">
      <c r="A570" s="177" t="s">
        <v>288</v>
      </c>
      <c r="B570" s="177" t="s">
        <v>662</v>
      </c>
      <c r="C570" s="178">
        <v>36</v>
      </c>
      <c r="D570" s="179">
        <v>46379</v>
      </c>
      <c r="E570" s="177" t="s">
        <v>550</v>
      </c>
      <c r="F570" s="178">
        <v>1</v>
      </c>
      <c r="G570" s="180"/>
      <c r="H570" s="178">
        <v>2</v>
      </c>
    </row>
    <row r="571" spans="1:8" ht="20.399999999999999" x14ac:dyDescent="0.3">
      <c r="A571" s="177" t="s">
        <v>184</v>
      </c>
      <c r="B571" s="177" t="s">
        <v>662</v>
      </c>
      <c r="C571" s="178">
        <v>68</v>
      </c>
      <c r="D571" s="179">
        <v>46381</v>
      </c>
      <c r="E571" s="177" t="s">
        <v>550</v>
      </c>
      <c r="F571" s="178">
        <v>12</v>
      </c>
      <c r="G571" s="180"/>
      <c r="H571" s="180"/>
    </row>
    <row r="572" spans="1:8" ht="20.399999999999999" x14ac:dyDescent="0.3">
      <c r="A572" s="177" t="s">
        <v>754</v>
      </c>
      <c r="B572" s="177" t="s">
        <v>662</v>
      </c>
      <c r="C572" s="178">
        <v>162</v>
      </c>
      <c r="D572" s="179">
        <v>46381</v>
      </c>
      <c r="E572" s="177" t="s">
        <v>550</v>
      </c>
      <c r="F572" s="178">
        <v>12</v>
      </c>
      <c r="G572" s="180"/>
      <c r="H572" s="180"/>
    </row>
    <row r="573" spans="1:8" ht="20.399999999999999" x14ac:dyDescent="0.3">
      <c r="A573" s="177" t="s">
        <v>182</v>
      </c>
      <c r="B573" s="177" t="s">
        <v>662</v>
      </c>
      <c r="C573" s="178">
        <v>388</v>
      </c>
      <c r="D573" s="179">
        <v>46381</v>
      </c>
      <c r="E573" s="177" t="s">
        <v>550</v>
      </c>
      <c r="F573" s="178">
        <v>5</v>
      </c>
      <c r="G573" s="180"/>
      <c r="H573" s="180"/>
    </row>
    <row r="574" spans="1:8" ht="20.399999999999999" x14ac:dyDescent="0.3">
      <c r="A574" s="177" t="s">
        <v>182</v>
      </c>
      <c r="B574" s="177" t="s">
        <v>662</v>
      </c>
      <c r="C574" s="178">
        <v>390</v>
      </c>
      <c r="D574" s="179">
        <v>46381</v>
      </c>
      <c r="E574" s="177" t="s">
        <v>550</v>
      </c>
      <c r="F574" s="178">
        <v>12</v>
      </c>
      <c r="G574" s="180"/>
      <c r="H574" s="180"/>
    </row>
    <row r="575" spans="1:8" ht="20.399999999999999" x14ac:dyDescent="0.3">
      <c r="A575" s="177" t="s">
        <v>255</v>
      </c>
      <c r="B575" s="177" t="s">
        <v>662</v>
      </c>
      <c r="C575" s="178">
        <v>326</v>
      </c>
      <c r="D575" s="179">
        <v>46381</v>
      </c>
      <c r="E575" s="177" t="s">
        <v>550</v>
      </c>
      <c r="F575" s="178">
        <v>12</v>
      </c>
      <c r="G575" s="180"/>
      <c r="H575" s="180"/>
    </row>
    <row r="576" spans="1:8" ht="20.399999999999999" x14ac:dyDescent="0.3">
      <c r="A576" s="177" t="s">
        <v>184</v>
      </c>
      <c r="B576" s="177" t="s">
        <v>651</v>
      </c>
      <c r="C576" s="178">
        <v>138</v>
      </c>
      <c r="D576" s="179">
        <v>46381</v>
      </c>
      <c r="E576" s="177" t="s">
        <v>550</v>
      </c>
      <c r="F576" s="178">
        <v>1</v>
      </c>
      <c r="G576" s="180"/>
      <c r="H576" s="180"/>
    </row>
    <row r="577" spans="1:8" ht="20.399999999999999" x14ac:dyDescent="0.3">
      <c r="A577" s="177" t="s">
        <v>755</v>
      </c>
      <c r="B577" s="177" t="s">
        <v>685</v>
      </c>
      <c r="C577" s="178">
        <v>360</v>
      </c>
      <c r="D577" s="179">
        <v>46381</v>
      </c>
      <c r="E577" s="177" t="s">
        <v>550</v>
      </c>
      <c r="F577" s="178">
        <v>1</v>
      </c>
      <c r="G577" s="180"/>
      <c r="H577" s="180"/>
    </row>
    <row r="578" spans="1:8" ht="20.399999999999999" x14ac:dyDescent="0.3">
      <c r="A578" s="177" t="s">
        <v>754</v>
      </c>
      <c r="B578" s="177" t="s">
        <v>661</v>
      </c>
      <c r="C578" s="178">
        <v>408</v>
      </c>
      <c r="D578" s="179">
        <v>46381</v>
      </c>
      <c r="E578" s="177" t="s">
        <v>550</v>
      </c>
      <c r="F578" s="178">
        <v>2</v>
      </c>
      <c r="G578" s="178">
        <v>42</v>
      </c>
      <c r="H578" s="180"/>
    </row>
    <row r="579" spans="1:8" ht="20.399999999999999" x14ac:dyDescent="0.3">
      <c r="A579" s="177" t="s">
        <v>755</v>
      </c>
      <c r="B579" s="177" t="s">
        <v>686</v>
      </c>
      <c r="C579" s="178">
        <v>82</v>
      </c>
      <c r="D579" s="179">
        <v>46381</v>
      </c>
      <c r="E579" s="177" t="s">
        <v>550</v>
      </c>
      <c r="F579" s="178">
        <v>12</v>
      </c>
      <c r="G579" s="180"/>
      <c r="H579" s="180"/>
    </row>
    <row r="580" spans="1:8" ht="20.399999999999999" x14ac:dyDescent="0.3">
      <c r="A580" s="177" t="s">
        <v>754</v>
      </c>
      <c r="B580" s="177" t="s">
        <v>686</v>
      </c>
      <c r="C580" s="178">
        <v>164</v>
      </c>
      <c r="D580" s="179">
        <v>46381</v>
      </c>
      <c r="E580" s="177" t="s">
        <v>550</v>
      </c>
      <c r="F580" s="178">
        <v>5</v>
      </c>
      <c r="G580" s="180"/>
      <c r="H580" s="180"/>
    </row>
    <row r="581" spans="1:8" ht="20.399999999999999" x14ac:dyDescent="0.3">
      <c r="A581" s="177" t="s">
        <v>755</v>
      </c>
      <c r="B581" s="177" t="s">
        <v>686</v>
      </c>
      <c r="C581" s="178">
        <v>222</v>
      </c>
      <c r="D581" s="179">
        <v>46381</v>
      </c>
      <c r="E581" s="177" t="s">
        <v>550</v>
      </c>
      <c r="F581" s="178">
        <v>4</v>
      </c>
      <c r="G581" s="180"/>
      <c r="H581" s="180"/>
    </row>
    <row r="582" spans="1:8" ht="20.399999999999999" x14ac:dyDescent="0.3">
      <c r="A582" s="177" t="s">
        <v>292</v>
      </c>
      <c r="B582" s="177" t="s">
        <v>582</v>
      </c>
      <c r="C582" s="178">
        <v>180</v>
      </c>
      <c r="D582" s="179">
        <v>46383</v>
      </c>
      <c r="E582" s="177" t="s">
        <v>550</v>
      </c>
      <c r="F582" s="178">
        <v>4</v>
      </c>
      <c r="G582" s="178">
        <v>32</v>
      </c>
      <c r="H582" s="180"/>
    </row>
    <row r="583" spans="1:8" ht="20.399999999999999" x14ac:dyDescent="0.3">
      <c r="A583" s="177" t="s">
        <v>292</v>
      </c>
      <c r="B583" s="177" t="s">
        <v>582</v>
      </c>
      <c r="C583" s="178">
        <v>182</v>
      </c>
      <c r="D583" s="179">
        <v>46383</v>
      </c>
      <c r="E583" s="177" t="s">
        <v>550</v>
      </c>
      <c r="F583" s="178">
        <v>4</v>
      </c>
      <c r="G583" s="180"/>
      <c r="H583" s="180"/>
    </row>
    <row r="584" spans="1:8" ht="20.399999999999999" x14ac:dyDescent="0.3">
      <c r="A584" s="177" t="s">
        <v>292</v>
      </c>
      <c r="B584" s="177" t="s">
        <v>582</v>
      </c>
      <c r="C584" s="178">
        <v>184</v>
      </c>
      <c r="D584" s="179">
        <v>46383</v>
      </c>
      <c r="E584" s="177" t="s">
        <v>550</v>
      </c>
      <c r="F584" s="178">
        <v>4</v>
      </c>
      <c r="G584" s="180"/>
      <c r="H584" s="180"/>
    </row>
    <row r="585" spans="1:8" ht="20.399999999999999" x14ac:dyDescent="0.3">
      <c r="A585" s="177" t="s">
        <v>292</v>
      </c>
      <c r="B585" s="177" t="s">
        <v>582</v>
      </c>
      <c r="C585" s="178">
        <v>186</v>
      </c>
      <c r="D585" s="179">
        <v>46383</v>
      </c>
      <c r="E585" s="177" t="s">
        <v>550</v>
      </c>
      <c r="F585" s="178">
        <v>4</v>
      </c>
      <c r="G585" s="180"/>
      <c r="H585" s="180"/>
    </row>
    <row r="586" spans="1:8" ht="20.399999999999999" x14ac:dyDescent="0.3">
      <c r="A586" s="177" t="s">
        <v>756</v>
      </c>
      <c r="B586" s="177" t="s">
        <v>686</v>
      </c>
      <c r="C586" s="178">
        <v>204</v>
      </c>
      <c r="D586" s="179">
        <v>46384</v>
      </c>
      <c r="E586" s="177" t="s">
        <v>550</v>
      </c>
      <c r="F586" s="178">
        <v>2</v>
      </c>
      <c r="G586" s="180"/>
      <c r="H586" s="180"/>
    </row>
    <row r="587" spans="1:8" ht="20.399999999999999" x14ac:dyDescent="0.3">
      <c r="A587" s="177" t="s">
        <v>440</v>
      </c>
      <c r="B587" s="177" t="s">
        <v>650</v>
      </c>
      <c r="C587" s="178">
        <v>64</v>
      </c>
      <c r="D587" s="179">
        <v>46384</v>
      </c>
      <c r="E587" s="177" t="s">
        <v>550</v>
      </c>
      <c r="F587" s="178">
        <v>23</v>
      </c>
      <c r="G587" s="180"/>
      <c r="H587" s="178">
        <v>0</v>
      </c>
    </row>
    <row r="588" spans="1:8" ht="20.399999999999999" x14ac:dyDescent="0.3">
      <c r="A588" s="177" t="s">
        <v>756</v>
      </c>
      <c r="B588" s="177" t="s">
        <v>686</v>
      </c>
      <c r="C588" s="178">
        <v>44</v>
      </c>
      <c r="D588" s="179">
        <v>46384</v>
      </c>
      <c r="E588" s="177" t="s">
        <v>550</v>
      </c>
      <c r="F588" s="178">
        <v>12</v>
      </c>
      <c r="G588" s="180"/>
      <c r="H588" s="180"/>
    </row>
    <row r="589" spans="1:8" ht="20.399999999999999" x14ac:dyDescent="0.3">
      <c r="A589" s="177" t="s">
        <v>205</v>
      </c>
      <c r="B589" s="177" t="s">
        <v>669</v>
      </c>
      <c r="C589" s="178">
        <v>196</v>
      </c>
      <c r="D589" s="179">
        <v>46385</v>
      </c>
      <c r="E589" s="177" t="s">
        <v>550</v>
      </c>
      <c r="F589" s="178">
        <v>4</v>
      </c>
      <c r="G589" s="180"/>
      <c r="H589" s="180"/>
    </row>
    <row r="590" spans="1:8" ht="20.399999999999999" x14ac:dyDescent="0.3">
      <c r="A590" s="177" t="s">
        <v>205</v>
      </c>
      <c r="B590" s="177" t="s">
        <v>669</v>
      </c>
      <c r="C590" s="178">
        <v>198</v>
      </c>
      <c r="D590" s="179">
        <v>46385</v>
      </c>
      <c r="E590" s="177" t="s">
        <v>550</v>
      </c>
      <c r="F590" s="178">
        <v>4</v>
      </c>
      <c r="G590" s="180"/>
      <c r="H590" s="180"/>
    </row>
    <row r="591" spans="1:8" ht="20.399999999999999" x14ac:dyDescent="0.3">
      <c r="A591" s="177" t="s">
        <v>205</v>
      </c>
      <c r="B591" s="177" t="s">
        <v>669</v>
      </c>
      <c r="C591" s="178">
        <v>200</v>
      </c>
      <c r="D591" s="179">
        <v>46385</v>
      </c>
      <c r="E591" s="177" t="s">
        <v>550</v>
      </c>
      <c r="F591" s="178">
        <v>4</v>
      </c>
      <c r="G591" s="180"/>
      <c r="H591" s="180"/>
    </row>
    <row r="592" spans="1:8" ht="20.399999999999999" x14ac:dyDescent="0.3">
      <c r="A592" s="177" t="s">
        <v>224</v>
      </c>
      <c r="B592" s="177" t="s">
        <v>669</v>
      </c>
      <c r="C592" s="178">
        <v>228</v>
      </c>
      <c r="D592" s="179">
        <v>46386</v>
      </c>
      <c r="E592" s="177" t="s">
        <v>550</v>
      </c>
      <c r="F592" s="178">
        <v>4</v>
      </c>
      <c r="G592" s="178">
        <v>33</v>
      </c>
      <c r="H592" s="180"/>
    </row>
    <row r="593" spans="1:8" ht="20.399999999999999" x14ac:dyDescent="0.3">
      <c r="A593" s="177" t="s">
        <v>224</v>
      </c>
      <c r="B593" s="177" t="s">
        <v>669</v>
      </c>
      <c r="C593" s="178">
        <v>230</v>
      </c>
      <c r="D593" s="179">
        <v>46386</v>
      </c>
      <c r="E593" s="177" t="s">
        <v>550</v>
      </c>
      <c r="F593" s="178">
        <v>4</v>
      </c>
      <c r="G593" s="180"/>
      <c r="H593" s="180"/>
    </row>
    <row r="594" spans="1:8" ht="20.399999999999999" x14ac:dyDescent="0.3">
      <c r="A594" s="177" t="s">
        <v>224</v>
      </c>
      <c r="B594" s="177" t="s">
        <v>669</v>
      </c>
      <c r="C594" s="178">
        <v>232</v>
      </c>
      <c r="D594" s="179">
        <v>46386</v>
      </c>
      <c r="E594" s="177" t="s">
        <v>550</v>
      </c>
      <c r="F594" s="178">
        <v>4</v>
      </c>
      <c r="G594" s="180"/>
      <c r="H594" s="180"/>
    </row>
    <row r="595" spans="1:8" ht="20.399999999999999" x14ac:dyDescent="0.3">
      <c r="A595" s="177" t="s">
        <v>224</v>
      </c>
      <c r="B595" s="177" t="s">
        <v>669</v>
      </c>
      <c r="C595" s="178">
        <v>234</v>
      </c>
      <c r="D595" s="179">
        <v>46386</v>
      </c>
      <c r="E595" s="177" t="s">
        <v>550</v>
      </c>
      <c r="F595" s="178">
        <v>4</v>
      </c>
      <c r="G595" s="180"/>
      <c r="H595" s="180"/>
    </row>
    <row r="596" spans="1:8" ht="20.399999999999999" x14ac:dyDescent="0.3">
      <c r="A596" s="177" t="s">
        <v>757</v>
      </c>
      <c r="B596" s="177" t="s">
        <v>688</v>
      </c>
      <c r="C596" s="178">
        <v>24</v>
      </c>
      <c r="D596" s="179">
        <v>46386</v>
      </c>
      <c r="E596" s="177" t="s">
        <v>550</v>
      </c>
      <c r="F596" s="178">
        <v>24</v>
      </c>
      <c r="G596" s="180"/>
      <c r="H596" s="180"/>
    </row>
    <row r="597" spans="1:8" ht="20.399999999999999" x14ac:dyDescent="0.3">
      <c r="A597" s="177" t="s">
        <v>757</v>
      </c>
      <c r="B597" s="177" t="s">
        <v>685</v>
      </c>
      <c r="C597" s="178">
        <v>336</v>
      </c>
      <c r="D597" s="179">
        <v>46386</v>
      </c>
      <c r="E597" s="177" t="s">
        <v>550</v>
      </c>
      <c r="F597" s="178">
        <v>4</v>
      </c>
      <c r="G597" s="180"/>
      <c r="H597" s="180"/>
    </row>
    <row r="598" spans="1:8" ht="20.399999999999999" x14ac:dyDescent="0.3">
      <c r="A598" s="177" t="s">
        <v>119</v>
      </c>
      <c r="B598" s="177" t="s">
        <v>649</v>
      </c>
      <c r="C598" s="178">
        <v>124</v>
      </c>
      <c r="D598" s="179">
        <v>46386</v>
      </c>
      <c r="E598" s="177" t="s">
        <v>550</v>
      </c>
      <c r="F598" s="178">
        <v>3</v>
      </c>
      <c r="G598" s="178">
        <v>14</v>
      </c>
      <c r="H598" s="180"/>
    </row>
    <row r="599" spans="1:8" ht="20.399999999999999" x14ac:dyDescent="0.3">
      <c r="A599" s="177" t="s">
        <v>639</v>
      </c>
      <c r="B599" s="177" t="s">
        <v>603</v>
      </c>
      <c r="C599" s="178">
        <v>262</v>
      </c>
      <c r="D599" s="179">
        <v>46386</v>
      </c>
      <c r="E599" s="177" t="s">
        <v>550</v>
      </c>
      <c r="F599" s="178">
        <v>78</v>
      </c>
      <c r="G599" s="180"/>
      <c r="H599" s="180"/>
    </row>
    <row r="600" spans="1:8" ht="20.399999999999999" x14ac:dyDescent="0.3">
      <c r="A600" s="177" t="s">
        <v>758</v>
      </c>
      <c r="B600" s="177" t="s">
        <v>606</v>
      </c>
      <c r="C600" s="178">
        <v>8</v>
      </c>
      <c r="D600" s="179">
        <v>46386</v>
      </c>
      <c r="E600" s="177" t="s">
        <v>550</v>
      </c>
      <c r="F600" s="178">
        <v>2</v>
      </c>
      <c r="G600" s="180"/>
      <c r="H600" s="180"/>
    </row>
    <row r="601" spans="1:8" ht="30.6" x14ac:dyDescent="0.3">
      <c r="A601" s="177" t="s">
        <v>759</v>
      </c>
      <c r="B601" s="177" t="s">
        <v>606</v>
      </c>
      <c r="C601" s="178">
        <v>25</v>
      </c>
      <c r="D601" s="179">
        <v>46386</v>
      </c>
      <c r="E601" s="177" t="s">
        <v>550</v>
      </c>
      <c r="F601" s="178">
        <v>1</v>
      </c>
      <c r="G601" s="180"/>
      <c r="H601" s="180"/>
    </row>
    <row r="602" spans="1:8" ht="20.399999999999999" x14ac:dyDescent="0.3">
      <c r="A602" s="177" t="s">
        <v>738</v>
      </c>
      <c r="B602" s="177" t="s">
        <v>651</v>
      </c>
      <c r="C602" s="178">
        <v>60</v>
      </c>
      <c r="D602" s="179">
        <v>46386</v>
      </c>
      <c r="E602" s="177" t="s">
        <v>550</v>
      </c>
      <c r="F602" s="178">
        <v>1</v>
      </c>
      <c r="G602" s="178">
        <v>22</v>
      </c>
      <c r="H602" s="180"/>
    </row>
    <row r="603" spans="1:8" ht="20.399999999999999" x14ac:dyDescent="0.3">
      <c r="A603" s="177" t="s">
        <v>760</v>
      </c>
      <c r="B603" s="177" t="s">
        <v>606</v>
      </c>
      <c r="C603" s="178">
        <v>108</v>
      </c>
      <c r="D603" s="179">
        <v>46386</v>
      </c>
      <c r="E603" s="177" t="s">
        <v>550</v>
      </c>
      <c r="F603" s="178">
        <v>4</v>
      </c>
      <c r="G603" s="178">
        <v>60</v>
      </c>
      <c r="H603" s="178">
        <v>1</v>
      </c>
    </row>
    <row r="604" spans="1:8" ht="20.399999999999999" x14ac:dyDescent="0.3">
      <c r="A604" s="177" t="s">
        <v>639</v>
      </c>
      <c r="B604" s="177" t="s">
        <v>614</v>
      </c>
      <c r="C604" s="178">
        <v>12</v>
      </c>
      <c r="D604" s="179">
        <v>46386</v>
      </c>
      <c r="E604" s="177" t="s">
        <v>550</v>
      </c>
      <c r="F604" s="178">
        <v>104</v>
      </c>
      <c r="G604" s="180"/>
      <c r="H604" s="180"/>
    </row>
    <row r="605" spans="1:8" ht="20.399999999999999" x14ac:dyDescent="0.3">
      <c r="A605" s="177" t="s">
        <v>761</v>
      </c>
      <c r="B605" s="177" t="s">
        <v>614</v>
      </c>
      <c r="C605" s="178">
        <v>98</v>
      </c>
      <c r="D605" s="179">
        <v>46387</v>
      </c>
      <c r="E605" s="177" t="s">
        <v>550</v>
      </c>
      <c r="F605" s="178">
        <v>1</v>
      </c>
      <c r="G605" s="180"/>
      <c r="H605" s="180"/>
    </row>
    <row r="606" spans="1:8" ht="20.399999999999999" x14ac:dyDescent="0.3">
      <c r="A606" s="177" t="s">
        <v>762</v>
      </c>
      <c r="B606" s="177" t="s">
        <v>614</v>
      </c>
      <c r="C606" s="178">
        <v>100</v>
      </c>
      <c r="D606" s="179">
        <v>46387</v>
      </c>
      <c r="E606" s="177" t="s">
        <v>550</v>
      </c>
      <c r="F606" s="178">
        <v>7</v>
      </c>
      <c r="G606" s="178">
        <v>82</v>
      </c>
      <c r="H606" s="180"/>
    </row>
    <row r="607" spans="1:8" ht="20.399999999999999" x14ac:dyDescent="0.3">
      <c r="A607" s="177" t="s">
        <v>763</v>
      </c>
      <c r="B607" s="177" t="s">
        <v>764</v>
      </c>
      <c r="C607" s="178">
        <v>70</v>
      </c>
      <c r="D607" s="179">
        <v>46387</v>
      </c>
      <c r="E607" s="177" t="s">
        <v>550</v>
      </c>
      <c r="F607" s="178">
        <v>1</v>
      </c>
      <c r="G607" s="180"/>
      <c r="H607" s="178">
        <v>1</v>
      </c>
    </row>
    <row r="608" spans="1:8" ht="20.399999999999999" x14ac:dyDescent="0.3">
      <c r="A608" s="177" t="s">
        <v>765</v>
      </c>
      <c r="B608" s="177" t="s">
        <v>609</v>
      </c>
      <c r="C608" s="178">
        <v>6</v>
      </c>
      <c r="D608" s="179">
        <v>46387</v>
      </c>
      <c r="E608" s="177" t="s">
        <v>550</v>
      </c>
      <c r="F608" s="178">
        <v>2</v>
      </c>
      <c r="G608" s="178">
        <v>75</v>
      </c>
      <c r="H608" s="180"/>
    </row>
    <row r="609" spans="1:8" ht="20.399999999999999" x14ac:dyDescent="0.3">
      <c r="A609" s="177" t="s">
        <v>763</v>
      </c>
      <c r="B609" s="177" t="s">
        <v>764</v>
      </c>
      <c r="C609" s="178">
        <v>82</v>
      </c>
      <c r="D609" s="179">
        <v>46387</v>
      </c>
      <c r="E609" s="177" t="s">
        <v>550</v>
      </c>
      <c r="F609" s="178">
        <v>1</v>
      </c>
      <c r="G609" s="180"/>
      <c r="H609" s="178">
        <v>1</v>
      </c>
    </row>
    <row r="610" spans="1:8" ht="20.399999999999999" x14ac:dyDescent="0.3">
      <c r="A610" s="177" t="s">
        <v>766</v>
      </c>
      <c r="B610" s="177" t="s">
        <v>606</v>
      </c>
      <c r="C610" s="178">
        <v>40</v>
      </c>
      <c r="D610" s="179">
        <v>46387</v>
      </c>
      <c r="E610" s="177" t="s">
        <v>550</v>
      </c>
      <c r="F610" s="178">
        <v>1</v>
      </c>
      <c r="G610" s="180"/>
      <c r="H610" s="178">
        <v>1</v>
      </c>
    </row>
    <row r="611" spans="1:8" ht="20.399999999999999" x14ac:dyDescent="0.3">
      <c r="A611" s="177" t="s">
        <v>767</v>
      </c>
      <c r="B611" s="177" t="s">
        <v>606</v>
      </c>
      <c r="C611" s="178">
        <v>44</v>
      </c>
      <c r="D611" s="179">
        <v>46387</v>
      </c>
      <c r="E611" s="177" t="s">
        <v>550</v>
      </c>
      <c r="F611" s="178">
        <v>1</v>
      </c>
      <c r="G611" s="180"/>
      <c r="H611" s="180"/>
    </row>
    <row r="612" spans="1:8" ht="20.399999999999999" x14ac:dyDescent="0.3">
      <c r="A612" s="177" t="s">
        <v>768</v>
      </c>
      <c r="B612" s="177" t="s">
        <v>596</v>
      </c>
      <c r="C612" s="178">
        <v>90</v>
      </c>
      <c r="D612" s="179">
        <v>46387</v>
      </c>
      <c r="E612" s="177" t="s">
        <v>550</v>
      </c>
      <c r="F612" s="178">
        <v>2</v>
      </c>
      <c r="G612" s="180"/>
      <c r="H612" s="180"/>
    </row>
    <row r="613" spans="1:8" ht="20.399999999999999" x14ac:dyDescent="0.3">
      <c r="A613" s="177" t="s">
        <v>319</v>
      </c>
      <c r="B613" s="177" t="s">
        <v>634</v>
      </c>
      <c r="C613" s="178">
        <v>70</v>
      </c>
      <c r="D613" s="179">
        <v>46387</v>
      </c>
      <c r="E613" s="177" t="s">
        <v>550</v>
      </c>
      <c r="F613" s="178">
        <v>4</v>
      </c>
      <c r="G613" s="180"/>
      <c r="H613" s="180"/>
    </row>
    <row r="614" spans="1:8" ht="20.399999999999999" x14ac:dyDescent="0.3">
      <c r="A614" s="177" t="s">
        <v>769</v>
      </c>
      <c r="B614" s="177" t="s">
        <v>650</v>
      </c>
      <c r="C614" s="178">
        <v>98</v>
      </c>
      <c r="D614" s="179">
        <v>46387</v>
      </c>
      <c r="E614" s="177" t="s">
        <v>550</v>
      </c>
      <c r="F614" s="178">
        <v>1</v>
      </c>
      <c r="G614" s="180"/>
      <c r="H614" s="178">
        <v>0</v>
      </c>
    </row>
    <row r="615" spans="1:8" ht="20.399999999999999" x14ac:dyDescent="0.3">
      <c r="A615" s="177" t="s">
        <v>262</v>
      </c>
      <c r="B615" s="177" t="s">
        <v>690</v>
      </c>
      <c r="C615" s="178">
        <v>38</v>
      </c>
      <c r="D615" s="179">
        <v>46387</v>
      </c>
      <c r="E615" s="177" t="s">
        <v>550</v>
      </c>
      <c r="F615" s="178">
        <v>1</v>
      </c>
      <c r="G615" s="180"/>
      <c r="H615" s="180"/>
    </row>
    <row r="616" spans="1:8" ht="20.399999999999999" x14ac:dyDescent="0.3">
      <c r="A616" s="177" t="s">
        <v>262</v>
      </c>
      <c r="B616" s="177" t="s">
        <v>591</v>
      </c>
      <c r="C616" s="178">
        <v>190</v>
      </c>
      <c r="D616" s="179">
        <v>46387</v>
      </c>
      <c r="E616" s="177" t="s">
        <v>550</v>
      </c>
      <c r="F616" s="178">
        <v>12</v>
      </c>
      <c r="G616" s="180"/>
      <c r="H616" s="180"/>
    </row>
    <row r="617" spans="1:8" ht="20.399999999999999" x14ac:dyDescent="0.3">
      <c r="A617" s="177" t="s">
        <v>770</v>
      </c>
      <c r="B617" s="177" t="s">
        <v>606</v>
      </c>
      <c r="C617" s="178">
        <v>110</v>
      </c>
      <c r="D617" s="179">
        <v>46388</v>
      </c>
      <c r="E617" s="177" t="s">
        <v>550</v>
      </c>
      <c r="F617" s="178">
        <v>8</v>
      </c>
      <c r="G617" s="178">
        <v>127</v>
      </c>
      <c r="H617" s="178">
        <v>1</v>
      </c>
    </row>
    <row r="618" spans="1:8" ht="20.399999999999999" x14ac:dyDescent="0.3">
      <c r="A618" s="177" t="s">
        <v>771</v>
      </c>
      <c r="B618" s="177" t="s">
        <v>606</v>
      </c>
      <c r="C618" s="178">
        <v>100</v>
      </c>
      <c r="D618" s="179">
        <v>46388</v>
      </c>
      <c r="E618" s="177" t="s">
        <v>550</v>
      </c>
      <c r="F618" s="178">
        <v>2</v>
      </c>
      <c r="G618" s="178">
        <v>93</v>
      </c>
      <c r="H618" s="178">
        <v>1</v>
      </c>
    </row>
    <row r="619" spans="1:8" ht="20.399999999999999" x14ac:dyDescent="0.3">
      <c r="A619" s="177" t="s">
        <v>772</v>
      </c>
      <c r="B619" s="177" t="s">
        <v>667</v>
      </c>
      <c r="C619" s="178">
        <v>68</v>
      </c>
      <c r="D619" s="179">
        <v>46388</v>
      </c>
      <c r="E619" s="177" t="s">
        <v>550</v>
      </c>
      <c r="F619" s="178">
        <v>2</v>
      </c>
      <c r="G619" s="178">
        <v>16</v>
      </c>
      <c r="H619" s="178">
        <v>0</v>
      </c>
    </row>
    <row r="620" spans="1:8" ht="20.399999999999999" x14ac:dyDescent="0.3">
      <c r="A620" s="177" t="s">
        <v>204</v>
      </c>
      <c r="B620" s="177" t="s">
        <v>669</v>
      </c>
      <c r="C620" s="178">
        <v>184</v>
      </c>
      <c r="D620" s="179">
        <v>46390</v>
      </c>
      <c r="E620" s="177" t="s">
        <v>550</v>
      </c>
      <c r="F620" s="178">
        <v>4</v>
      </c>
      <c r="G620" s="178">
        <v>25</v>
      </c>
      <c r="H620" s="180"/>
    </row>
    <row r="621" spans="1:8" ht="20.399999999999999" x14ac:dyDescent="0.3">
      <c r="A621" s="177" t="s">
        <v>204</v>
      </c>
      <c r="B621" s="177" t="s">
        <v>669</v>
      </c>
      <c r="C621" s="178">
        <v>186</v>
      </c>
      <c r="D621" s="179">
        <v>46390</v>
      </c>
      <c r="E621" s="177" t="s">
        <v>550</v>
      </c>
      <c r="F621" s="178">
        <v>4</v>
      </c>
      <c r="G621" s="180"/>
      <c r="H621" s="180"/>
    </row>
    <row r="622" spans="1:8" ht="20.399999999999999" x14ac:dyDescent="0.3">
      <c r="A622" s="177" t="s">
        <v>611</v>
      </c>
      <c r="B622" s="177" t="s">
        <v>669</v>
      </c>
      <c r="C622" s="178">
        <v>172</v>
      </c>
      <c r="D622" s="179">
        <v>46391</v>
      </c>
      <c r="E622" s="177" t="s">
        <v>550</v>
      </c>
      <c r="F622" s="178">
        <v>12</v>
      </c>
      <c r="G622" s="178">
        <v>77</v>
      </c>
      <c r="H622" s="180"/>
    </row>
    <row r="623" spans="1:8" ht="20.399999999999999" x14ac:dyDescent="0.3">
      <c r="A623" s="177" t="s">
        <v>287</v>
      </c>
      <c r="B623" s="177" t="s">
        <v>669</v>
      </c>
      <c r="C623" s="178">
        <v>20</v>
      </c>
      <c r="D623" s="179">
        <v>46391</v>
      </c>
      <c r="E623" s="177" t="s">
        <v>550</v>
      </c>
      <c r="F623" s="178">
        <v>4</v>
      </c>
      <c r="G623" s="180"/>
      <c r="H623" s="180"/>
    </row>
    <row r="624" spans="1:8" x14ac:dyDescent="0.3">
      <c r="A624" s="177" t="s">
        <v>322</v>
      </c>
      <c r="B624" s="177" t="s">
        <v>658</v>
      </c>
      <c r="C624" s="178">
        <v>474</v>
      </c>
      <c r="D624" s="179">
        <v>46391</v>
      </c>
      <c r="E624" s="177" t="s">
        <v>550</v>
      </c>
      <c r="F624" s="178">
        <v>108</v>
      </c>
      <c r="G624" s="180"/>
      <c r="H624" s="178">
        <v>323</v>
      </c>
    </row>
    <row r="625" spans="1:8" ht="20.399999999999999" x14ac:dyDescent="0.3">
      <c r="A625" s="177" t="s">
        <v>611</v>
      </c>
      <c r="B625" s="177" t="s">
        <v>669</v>
      </c>
      <c r="C625" s="178">
        <v>54</v>
      </c>
      <c r="D625" s="179">
        <v>46391</v>
      </c>
      <c r="E625" s="177" t="s">
        <v>550</v>
      </c>
      <c r="F625" s="178">
        <v>12</v>
      </c>
      <c r="G625" s="180"/>
      <c r="H625" s="180"/>
    </row>
    <row r="626" spans="1:8" ht="20.399999999999999" x14ac:dyDescent="0.3">
      <c r="A626" s="177" t="s">
        <v>272</v>
      </c>
      <c r="B626" s="177" t="s">
        <v>701</v>
      </c>
      <c r="C626" s="178">
        <v>2</v>
      </c>
      <c r="D626" s="179">
        <v>46391</v>
      </c>
      <c r="E626" s="177" t="s">
        <v>550</v>
      </c>
      <c r="F626" s="178">
        <v>48</v>
      </c>
      <c r="G626" s="180"/>
      <c r="H626" s="180"/>
    </row>
    <row r="627" spans="1:8" ht="20.399999999999999" x14ac:dyDescent="0.3">
      <c r="A627" s="177" t="s">
        <v>185</v>
      </c>
      <c r="B627" s="177" t="s">
        <v>701</v>
      </c>
      <c r="C627" s="178">
        <v>6</v>
      </c>
      <c r="D627" s="179">
        <v>46391</v>
      </c>
      <c r="E627" s="177" t="s">
        <v>550</v>
      </c>
      <c r="F627" s="178">
        <v>48</v>
      </c>
      <c r="G627" s="180"/>
      <c r="H627" s="180"/>
    </row>
    <row r="628" spans="1:8" ht="20.399999999999999" x14ac:dyDescent="0.3">
      <c r="A628" s="177" t="s">
        <v>266</v>
      </c>
      <c r="B628" s="177" t="s">
        <v>682</v>
      </c>
      <c r="C628" s="178">
        <v>8</v>
      </c>
      <c r="D628" s="179">
        <v>46391</v>
      </c>
      <c r="E628" s="177" t="s">
        <v>550</v>
      </c>
      <c r="F628" s="178">
        <v>24</v>
      </c>
      <c r="G628" s="180"/>
      <c r="H628" s="180"/>
    </row>
    <row r="629" spans="1:8" ht="20.399999999999999" x14ac:dyDescent="0.3">
      <c r="A629" s="177" t="s">
        <v>715</v>
      </c>
      <c r="B629" s="177" t="s">
        <v>594</v>
      </c>
      <c r="C629" s="178">
        <v>190</v>
      </c>
      <c r="D629" s="179">
        <v>46391</v>
      </c>
      <c r="E629" s="177" t="s">
        <v>550</v>
      </c>
      <c r="F629" s="178">
        <v>4</v>
      </c>
      <c r="G629" s="180"/>
      <c r="H629" s="180"/>
    </row>
    <row r="630" spans="1:8" ht="20.399999999999999" x14ac:dyDescent="0.3">
      <c r="A630" s="177" t="s">
        <v>164</v>
      </c>
      <c r="B630" s="177" t="s">
        <v>740</v>
      </c>
      <c r="C630" s="178">
        <v>42</v>
      </c>
      <c r="D630" s="179">
        <v>46391</v>
      </c>
      <c r="E630" s="177" t="s">
        <v>550</v>
      </c>
      <c r="F630" s="178">
        <v>12</v>
      </c>
      <c r="G630" s="180"/>
      <c r="H630" s="180"/>
    </row>
    <row r="631" spans="1:8" ht="20.399999999999999" x14ac:dyDescent="0.3">
      <c r="A631" s="177" t="s">
        <v>335</v>
      </c>
      <c r="B631" s="177" t="s">
        <v>740</v>
      </c>
      <c r="C631" s="178">
        <v>6</v>
      </c>
      <c r="D631" s="179">
        <v>46391</v>
      </c>
      <c r="E631" s="177" t="s">
        <v>550</v>
      </c>
      <c r="F631" s="178">
        <v>11</v>
      </c>
      <c r="G631" s="180"/>
      <c r="H631" s="178">
        <v>0</v>
      </c>
    </row>
    <row r="632" spans="1:8" ht="20.399999999999999" x14ac:dyDescent="0.3">
      <c r="A632" s="177" t="s">
        <v>125</v>
      </c>
      <c r="B632" s="177" t="s">
        <v>669</v>
      </c>
      <c r="C632" s="178">
        <v>16</v>
      </c>
      <c r="D632" s="179">
        <v>46391</v>
      </c>
      <c r="E632" s="177" t="s">
        <v>550</v>
      </c>
      <c r="F632" s="178">
        <v>4</v>
      </c>
      <c r="G632" s="180"/>
      <c r="H632" s="180"/>
    </row>
    <row r="633" spans="1:8" ht="20.399999999999999" x14ac:dyDescent="0.3">
      <c r="A633" s="177" t="s">
        <v>289</v>
      </c>
      <c r="B633" s="177" t="s">
        <v>658</v>
      </c>
      <c r="C633" s="178">
        <v>182</v>
      </c>
      <c r="D633" s="179">
        <v>46391</v>
      </c>
      <c r="E633" s="177" t="s">
        <v>550</v>
      </c>
      <c r="F633" s="178">
        <v>8</v>
      </c>
      <c r="G633" s="178">
        <v>50</v>
      </c>
      <c r="H633" s="180"/>
    </row>
    <row r="634" spans="1:8" ht="20.399999999999999" x14ac:dyDescent="0.3">
      <c r="A634" s="177" t="s">
        <v>32</v>
      </c>
      <c r="B634" s="177" t="s">
        <v>658</v>
      </c>
      <c r="C634" s="178">
        <v>252</v>
      </c>
      <c r="D634" s="179">
        <v>46391</v>
      </c>
      <c r="E634" s="177" t="s">
        <v>550</v>
      </c>
      <c r="F634" s="178">
        <v>12</v>
      </c>
      <c r="G634" s="178">
        <v>60</v>
      </c>
      <c r="H634" s="178">
        <v>9</v>
      </c>
    </row>
    <row r="635" spans="1:8" ht="20.399999999999999" x14ac:dyDescent="0.3">
      <c r="A635" s="177" t="s">
        <v>208</v>
      </c>
      <c r="B635" s="177" t="s">
        <v>658</v>
      </c>
      <c r="C635" s="178">
        <v>84</v>
      </c>
      <c r="D635" s="179">
        <v>46391</v>
      </c>
      <c r="E635" s="177" t="s">
        <v>550</v>
      </c>
      <c r="F635" s="178">
        <v>4</v>
      </c>
      <c r="G635" s="180"/>
      <c r="H635" s="180"/>
    </row>
    <row r="636" spans="1:8" ht="20.399999999999999" x14ac:dyDescent="0.3">
      <c r="A636" s="177" t="s">
        <v>291</v>
      </c>
      <c r="B636" s="177" t="s">
        <v>658</v>
      </c>
      <c r="C636" s="178">
        <v>102</v>
      </c>
      <c r="D636" s="179">
        <v>46391</v>
      </c>
      <c r="E636" s="177" t="s">
        <v>550</v>
      </c>
      <c r="F636" s="178">
        <v>4</v>
      </c>
      <c r="G636" s="180"/>
      <c r="H636" s="180"/>
    </row>
    <row r="637" spans="1:8" ht="20.399999999999999" x14ac:dyDescent="0.3">
      <c r="A637" s="177" t="s">
        <v>212</v>
      </c>
      <c r="B637" s="177" t="s">
        <v>658</v>
      </c>
      <c r="C637" s="178">
        <v>114</v>
      </c>
      <c r="D637" s="179">
        <v>46391</v>
      </c>
      <c r="E637" s="177" t="s">
        <v>550</v>
      </c>
      <c r="F637" s="178">
        <v>12</v>
      </c>
      <c r="G637" s="178">
        <v>74</v>
      </c>
      <c r="H637" s="180"/>
    </row>
    <row r="638" spans="1:8" ht="20.399999999999999" x14ac:dyDescent="0.3">
      <c r="A638" s="177" t="s">
        <v>279</v>
      </c>
      <c r="B638" s="177" t="s">
        <v>658</v>
      </c>
      <c r="C638" s="178">
        <v>140</v>
      </c>
      <c r="D638" s="179">
        <v>46391</v>
      </c>
      <c r="E638" s="177" t="s">
        <v>550</v>
      </c>
      <c r="F638" s="178">
        <v>4</v>
      </c>
      <c r="G638" s="180"/>
      <c r="H638" s="180"/>
    </row>
    <row r="639" spans="1:8" ht="20.399999999999999" x14ac:dyDescent="0.3">
      <c r="A639" s="177" t="s">
        <v>297</v>
      </c>
      <c r="B639" s="177" t="s">
        <v>658</v>
      </c>
      <c r="C639" s="178">
        <v>126</v>
      </c>
      <c r="D639" s="179">
        <v>46391</v>
      </c>
      <c r="E639" s="177" t="s">
        <v>550</v>
      </c>
      <c r="F639" s="178">
        <v>4</v>
      </c>
      <c r="G639" s="180"/>
      <c r="H639" s="180"/>
    </row>
    <row r="640" spans="1:8" ht="20.399999999999999" x14ac:dyDescent="0.3">
      <c r="A640" s="177" t="s">
        <v>211</v>
      </c>
      <c r="B640" s="177" t="s">
        <v>582</v>
      </c>
      <c r="C640" s="178">
        <v>234</v>
      </c>
      <c r="D640" s="179">
        <v>46391</v>
      </c>
      <c r="E640" s="177" t="s">
        <v>550</v>
      </c>
      <c r="F640" s="178">
        <v>12</v>
      </c>
      <c r="G640" s="178">
        <v>30</v>
      </c>
      <c r="H640" s="180"/>
    </row>
    <row r="641" spans="1:8" ht="20.399999999999999" x14ac:dyDescent="0.3">
      <c r="A641" s="177" t="s">
        <v>219</v>
      </c>
      <c r="B641" s="177" t="s">
        <v>582</v>
      </c>
      <c r="C641" s="178">
        <v>222</v>
      </c>
      <c r="D641" s="179">
        <v>46391</v>
      </c>
      <c r="E641" s="177" t="s">
        <v>550</v>
      </c>
      <c r="F641" s="178">
        <v>4</v>
      </c>
      <c r="G641" s="180"/>
      <c r="H641" s="180"/>
    </row>
    <row r="642" spans="1:8" ht="20.399999999999999" x14ac:dyDescent="0.3">
      <c r="A642" s="177" t="s">
        <v>128</v>
      </c>
      <c r="B642" s="177" t="s">
        <v>582</v>
      </c>
      <c r="C642" s="178">
        <v>264</v>
      </c>
      <c r="D642" s="179">
        <v>46391</v>
      </c>
      <c r="E642" s="177" t="s">
        <v>550</v>
      </c>
      <c r="F642" s="178">
        <v>8</v>
      </c>
      <c r="G642" s="180"/>
      <c r="H642" s="180"/>
    </row>
    <row r="643" spans="1:8" ht="20.399999999999999" x14ac:dyDescent="0.3">
      <c r="A643" s="177" t="s">
        <v>44</v>
      </c>
      <c r="B643" s="177" t="s">
        <v>582</v>
      </c>
      <c r="C643" s="178">
        <v>240</v>
      </c>
      <c r="D643" s="179">
        <v>46391</v>
      </c>
      <c r="E643" s="177" t="s">
        <v>550</v>
      </c>
      <c r="F643" s="178">
        <v>192</v>
      </c>
      <c r="G643" s="180"/>
      <c r="H643" s="180"/>
    </row>
    <row r="644" spans="1:8" ht="20.399999999999999" x14ac:dyDescent="0.3">
      <c r="A644" s="177" t="s">
        <v>223</v>
      </c>
      <c r="B644" s="177" t="s">
        <v>669</v>
      </c>
      <c r="C644" s="178">
        <v>212</v>
      </c>
      <c r="D644" s="179">
        <v>46392</v>
      </c>
      <c r="E644" s="177" t="s">
        <v>550</v>
      </c>
      <c r="F644" s="178">
        <v>4</v>
      </c>
      <c r="G644" s="178">
        <v>33</v>
      </c>
      <c r="H644" s="180"/>
    </row>
    <row r="645" spans="1:8" ht="20.399999999999999" x14ac:dyDescent="0.3">
      <c r="A645" s="177" t="s">
        <v>223</v>
      </c>
      <c r="B645" s="177" t="s">
        <v>669</v>
      </c>
      <c r="C645" s="178">
        <v>214</v>
      </c>
      <c r="D645" s="179">
        <v>46392</v>
      </c>
      <c r="E645" s="177" t="s">
        <v>550</v>
      </c>
      <c r="F645" s="178">
        <v>4</v>
      </c>
      <c r="G645" s="180"/>
      <c r="H645" s="180"/>
    </row>
    <row r="646" spans="1:8" ht="20.399999999999999" x14ac:dyDescent="0.3">
      <c r="A646" s="177" t="s">
        <v>223</v>
      </c>
      <c r="B646" s="177" t="s">
        <v>669</v>
      </c>
      <c r="C646" s="178">
        <v>216</v>
      </c>
      <c r="D646" s="179">
        <v>46392</v>
      </c>
      <c r="E646" s="177" t="s">
        <v>550</v>
      </c>
      <c r="F646" s="178">
        <v>4</v>
      </c>
      <c r="G646" s="180"/>
      <c r="H646" s="180"/>
    </row>
    <row r="647" spans="1:8" ht="20.399999999999999" x14ac:dyDescent="0.3">
      <c r="A647" s="177" t="s">
        <v>223</v>
      </c>
      <c r="B647" s="177" t="s">
        <v>669</v>
      </c>
      <c r="C647" s="178">
        <v>220</v>
      </c>
      <c r="D647" s="179">
        <v>46392</v>
      </c>
      <c r="E647" s="177" t="s">
        <v>550</v>
      </c>
      <c r="F647" s="178">
        <v>4</v>
      </c>
      <c r="G647" s="180"/>
      <c r="H647" s="180"/>
    </row>
    <row r="648" spans="1:8" ht="20.399999999999999" x14ac:dyDescent="0.3">
      <c r="A648" s="177" t="s">
        <v>763</v>
      </c>
      <c r="B648" s="177" t="s">
        <v>764</v>
      </c>
      <c r="C648" s="178">
        <v>80</v>
      </c>
      <c r="D648" s="179">
        <v>46394</v>
      </c>
      <c r="E648" s="177" t="s">
        <v>550</v>
      </c>
      <c r="F648" s="178">
        <v>1</v>
      </c>
      <c r="G648" s="180"/>
      <c r="H648" s="178">
        <v>1</v>
      </c>
    </row>
    <row r="649" spans="1:8" ht="20.399999999999999" x14ac:dyDescent="0.3">
      <c r="A649" s="177" t="s">
        <v>751</v>
      </c>
      <c r="B649" s="177" t="s">
        <v>649</v>
      </c>
      <c r="C649" s="178">
        <v>150</v>
      </c>
      <c r="D649" s="179">
        <v>46394</v>
      </c>
      <c r="E649" s="177" t="s">
        <v>550</v>
      </c>
      <c r="F649" s="178">
        <v>1</v>
      </c>
      <c r="G649" s="180"/>
      <c r="H649" s="180"/>
    </row>
    <row r="650" spans="1:8" ht="20.399999999999999" x14ac:dyDescent="0.3">
      <c r="A650" s="177" t="s">
        <v>205</v>
      </c>
      <c r="B650" s="177" t="s">
        <v>669</v>
      </c>
      <c r="C650" s="178">
        <v>202</v>
      </c>
      <c r="D650" s="179">
        <v>46396</v>
      </c>
      <c r="E650" s="177" t="s">
        <v>550</v>
      </c>
      <c r="F650" s="178">
        <v>4</v>
      </c>
      <c r="G650" s="180"/>
      <c r="H650" s="180"/>
    </row>
    <row r="651" spans="1:8" ht="20.399999999999999" x14ac:dyDescent="0.3">
      <c r="A651" s="177" t="s">
        <v>220</v>
      </c>
      <c r="B651" s="177" t="s">
        <v>669</v>
      </c>
      <c r="C651" s="178">
        <v>136</v>
      </c>
      <c r="D651" s="179">
        <v>46396</v>
      </c>
      <c r="E651" s="177" t="s">
        <v>550</v>
      </c>
      <c r="F651" s="178">
        <v>8</v>
      </c>
      <c r="G651" s="180"/>
      <c r="H651" s="180"/>
    </row>
    <row r="652" spans="1:8" ht="20.399999999999999" x14ac:dyDescent="0.3">
      <c r="A652" s="177" t="s">
        <v>220</v>
      </c>
      <c r="B652" s="177" t="s">
        <v>669</v>
      </c>
      <c r="C652" s="178">
        <v>138</v>
      </c>
      <c r="D652" s="179">
        <v>46396</v>
      </c>
      <c r="E652" s="177" t="s">
        <v>550</v>
      </c>
      <c r="F652" s="178">
        <v>8</v>
      </c>
      <c r="G652" s="178">
        <v>50</v>
      </c>
      <c r="H652" s="180"/>
    </row>
    <row r="653" spans="1:8" ht="20.399999999999999" x14ac:dyDescent="0.3">
      <c r="A653" s="177" t="s">
        <v>222</v>
      </c>
      <c r="B653" s="177" t="s">
        <v>669</v>
      </c>
      <c r="C653" s="178">
        <v>56</v>
      </c>
      <c r="D653" s="179">
        <v>46398</v>
      </c>
      <c r="E653" s="177" t="s">
        <v>550</v>
      </c>
      <c r="F653" s="178">
        <v>12</v>
      </c>
      <c r="G653" s="180"/>
      <c r="H653" s="180"/>
    </row>
    <row r="654" spans="1:8" ht="20.399999999999999" x14ac:dyDescent="0.3">
      <c r="A654" s="177" t="s">
        <v>223</v>
      </c>
      <c r="B654" s="177" t="s">
        <v>669</v>
      </c>
      <c r="C654" s="178">
        <v>224</v>
      </c>
      <c r="D654" s="179">
        <v>46398</v>
      </c>
      <c r="E654" s="177" t="s">
        <v>550</v>
      </c>
      <c r="F654" s="178">
        <v>4</v>
      </c>
      <c r="G654" s="180"/>
      <c r="H654" s="180"/>
    </row>
    <row r="655" spans="1:8" ht="20.399999999999999" x14ac:dyDescent="0.3">
      <c r="A655" s="177" t="s">
        <v>224</v>
      </c>
      <c r="B655" s="177" t="s">
        <v>669</v>
      </c>
      <c r="C655" s="178">
        <v>236</v>
      </c>
      <c r="D655" s="179">
        <v>46398</v>
      </c>
      <c r="E655" s="177" t="s">
        <v>550</v>
      </c>
      <c r="F655" s="178">
        <v>4</v>
      </c>
      <c r="G655" s="180"/>
      <c r="H655" s="180"/>
    </row>
    <row r="656" spans="1:8" ht="20.399999999999999" x14ac:dyDescent="0.3">
      <c r="A656" s="177" t="s">
        <v>222</v>
      </c>
      <c r="B656" s="177" t="s">
        <v>669</v>
      </c>
      <c r="C656" s="178">
        <v>182</v>
      </c>
      <c r="D656" s="179">
        <v>46398</v>
      </c>
      <c r="E656" s="177" t="s">
        <v>550</v>
      </c>
      <c r="F656" s="178">
        <v>12</v>
      </c>
      <c r="G656" s="178">
        <v>77</v>
      </c>
      <c r="H656" s="180"/>
    </row>
    <row r="657" spans="1:8" ht="20.399999999999999" x14ac:dyDescent="0.3">
      <c r="A657" s="177" t="s">
        <v>745</v>
      </c>
      <c r="B657" s="177" t="s">
        <v>649</v>
      </c>
      <c r="C657" s="178">
        <v>324</v>
      </c>
      <c r="D657" s="179">
        <v>46398</v>
      </c>
      <c r="E657" s="177" t="s">
        <v>550</v>
      </c>
      <c r="F657" s="178">
        <v>1</v>
      </c>
      <c r="G657" s="180"/>
      <c r="H657" s="180"/>
    </row>
    <row r="658" spans="1:8" x14ac:dyDescent="0.3">
      <c r="A658" s="177" t="s">
        <v>773</v>
      </c>
      <c r="B658" s="177" t="s">
        <v>552</v>
      </c>
      <c r="C658" s="178">
        <v>178</v>
      </c>
      <c r="D658" s="179">
        <v>46400</v>
      </c>
      <c r="E658" s="177" t="s">
        <v>550</v>
      </c>
      <c r="F658" s="178">
        <v>6</v>
      </c>
      <c r="G658" s="180"/>
      <c r="H658" s="180"/>
    </row>
    <row r="659" spans="1:8" ht="20.399999999999999" x14ac:dyDescent="0.3">
      <c r="A659" s="177" t="s">
        <v>244</v>
      </c>
      <c r="B659" s="177" t="s">
        <v>669</v>
      </c>
      <c r="C659" s="178">
        <v>46</v>
      </c>
      <c r="D659" s="179">
        <v>46401</v>
      </c>
      <c r="E659" s="177" t="s">
        <v>550</v>
      </c>
      <c r="F659" s="178">
        <v>4</v>
      </c>
      <c r="G659" s="180"/>
      <c r="H659" s="180"/>
    </row>
    <row r="660" spans="1:8" ht="20.399999999999999" x14ac:dyDescent="0.3">
      <c r="A660" s="177" t="s">
        <v>244</v>
      </c>
      <c r="B660" s="177" t="s">
        <v>669</v>
      </c>
      <c r="C660" s="178">
        <v>140</v>
      </c>
      <c r="D660" s="179">
        <v>46401</v>
      </c>
      <c r="E660" s="177" t="s">
        <v>550</v>
      </c>
      <c r="F660" s="178">
        <v>4</v>
      </c>
      <c r="G660" s="178">
        <v>30</v>
      </c>
      <c r="H660" s="180"/>
    </row>
    <row r="661" spans="1:8" ht="20.399999999999999" x14ac:dyDescent="0.3">
      <c r="A661" s="177" t="s">
        <v>244</v>
      </c>
      <c r="B661" s="177" t="s">
        <v>669</v>
      </c>
      <c r="C661" s="178">
        <v>148</v>
      </c>
      <c r="D661" s="179">
        <v>46401</v>
      </c>
      <c r="E661" s="177" t="s">
        <v>550</v>
      </c>
      <c r="F661" s="178">
        <v>4</v>
      </c>
      <c r="G661" s="180"/>
      <c r="H661" s="180"/>
    </row>
    <row r="662" spans="1:8" ht="20.399999999999999" x14ac:dyDescent="0.3">
      <c r="A662" s="177" t="s">
        <v>254</v>
      </c>
      <c r="B662" s="177" t="s">
        <v>634</v>
      </c>
      <c r="C662" s="178">
        <v>82</v>
      </c>
      <c r="D662" s="179">
        <v>46402</v>
      </c>
      <c r="E662" s="177" t="s">
        <v>550</v>
      </c>
      <c r="F662" s="178">
        <v>4</v>
      </c>
      <c r="G662" s="178">
        <v>28</v>
      </c>
      <c r="H662" s="180"/>
    </row>
    <row r="663" spans="1:8" ht="20.399999999999999" x14ac:dyDescent="0.3">
      <c r="A663" s="177" t="s">
        <v>162</v>
      </c>
      <c r="B663" s="177" t="s">
        <v>729</v>
      </c>
      <c r="C663" s="178">
        <v>4</v>
      </c>
      <c r="D663" s="179">
        <v>46402</v>
      </c>
      <c r="E663" s="177" t="s">
        <v>550</v>
      </c>
      <c r="F663" s="178">
        <v>9</v>
      </c>
      <c r="G663" s="180"/>
      <c r="H663" s="180"/>
    </row>
    <row r="664" spans="1:8" ht="20.399999999999999" x14ac:dyDescent="0.3">
      <c r="A664" s="177" t="s">
        <v>307</v>
      </c>
      <c r="B664" s="177" t="s">
        <v>746</v>
      </c>
      <c r="C664" s="178">
        <v>22</v>
      </c>
      <c r="D664" s="179">
        <v>46402</v>
      </c>
      <c r="E664" s="177" t="s">
        <v>550</v>
      </c>
      <c r="F664" s="178">
        <v>1</v>
      </c>
      <c r="G664" s="180"/>
      <c r="H664" s="178">
        <v>0</v>
      </c>
    </row>
    <row r="665" spans="1:8" ht="20.399999999999999" x14ac:dyDescent="0.3">
      <c r="A665" s="177" t="s">
        <v>307</v>
      </c>
      <c r="B665" s="177" t="s">
        <v>740</v>
      </c>
      <c r="C665" s="178">
        <v>58</v>
      </c>
      <c r="D665" s="179">
        <v>46402</v>
      </c>
      <c r="E665" s="177" t="s">
        <v>550</v>
      </c>
      <c r="F665" s="178">
        <v>11</v>
      </c>
      <c r="G665" s="180"/>
      <c r="H665" s="178">
        <v>0</v>
      </c>
    </row>
    <row r="666" spans="1:8" ht="20.399999999999999" x14ac:dyDescent="0.3">
      <c r="A666" s="177" t="s">
        <v>254</v>
      </c>
      <c r="B666" s="177" t="s">
        <v>658</v>
      </c>
      <c r="C666" s="178">
        <v>228</v>
      </c>
      <c r="D666" s="179">
        <v>46402</v>
      </c>
      <c r="E666" s="177" t="s">
        <v>550</v>
      </c>
      <c r="F666" s="178">
        <v>3</v>
      </c>
      <c r="G666" s="180"/>
      <c r="H666" s="180"/>
    </row>
    <row r="667" spans="1:8" ht="20.399999999999999" x14ac:dyDescent="0.3">
      <c r="A667" s="177" t="s">
        <v>164</v>
      </c>
      <c r="B667" s="177" t="s">
        <v>774</v>
      </c>
      <c r="C667" s="178">
        <v>10</v>
      </c>
      <c r="D667" s="179">
        <v>46403</v>
      </c>
      <c r="E667" s="177" t="s">
        <v>550</v>
      </c>
      <c r="F667" s="178">
        <v>1</v>
      </c>
      <c r="G667" s="180"/>
      <c r="H667" s="180"/>
    </row>
    <row r="668" spans="1:8" ht="20.399999999999999" x14ac:dyDescent="0.3">
      <c r="A668" s="177" t="s">
        <v>315</v>
      </c>
      <c r="B668" s="177" t="s">
        <v>740</v>
      </c>
      <c r="C668" s="178">
        <v>36</v>
      </c>
      <c r="D668" s="179">
        <v>46405</v>
      </c>
      <c r="E668" s="177" t="s">
        <v>550</v>
      </c>
      <c r="F668" s="178">
        <v>11</v>
      </c>
      <c r="G668" s="180"/>
      <c r="H668" s="178">
        <v>0</v>
      </c>
    </row>
    <row r="669" spans="1:8" ht="20.399999999999999" x14ac:dyDescent="0.3">
      <c r="A669" s="177" t="s">
        <v>437</v>
      </c>
      <c r="B669" s="177" t="s">
        <v>695</v>
      </c>
      <c r="C669" s="178">
        <v>18</v>
      </c>
      <c r="D669" s="179">
        <v>46405</v>
      </c>
      <c r="E669" s="177" t="s">
        <v>550</v>
      </c>
      <c r="F669" s="178">
        <v>7</v>
      </c>
      <c r="G669" s="180"/>
      <c r="H669" s="178">
        <v>3</v>
      </c>
    </row>
    <row r="670" spans="1:8" ht="20.399999999999999" x14ac:dyDescent="0.3">
      <c r="A670" s="177" t="s">
        <v>257</v>
      </c>
      <c r="B670" s="177" t="s">
        <v>634</v>
      </c>
      <c r="C670" s="178">
        <v>14</v>
      </c>
      <c r="D670" s="179">
        <v>46405</v>
      </c>
      <c r="E670" s="177" t="s">
        <v>550</v>
      </c>
      <c r="F670" s="178">
        <v>12</v>
      </c>
      <c r="G670" s="180"/>
      <c r="H670" s="178">
        <v>2</v>
      </c>
    </row>
    <row r="671" spans="1:8" ht="20.399999999999999" x14ac:dyDescent="0.3">
      <c r="A671" s="177" t="s">
        <v>342</v>
      </c>
      <c r="B671" s="177" t="s">
        <v>656</v>
      </c>
      <c r="C671" s="178">
        <v>142</v>
      </c>
      <c r="D671" s="179">
        <v>46405</v>
      </c>
      <c r="E671" s="177" t="s">
        <v>550</v>
      </c>
      <c r="F671" s="178">
        <v>1</v>
      </c>
      <c r="G671" s="178">
        <v>30</v>
      </c>
      <c r="H671" s="180"/>
    </row>
    <row r="672" spans="1:8" ht="20.399999999999999" x14ac:dyDescent="0.3">
      <c r="A672" s="177" t="s">
        <v>295</v>
      </c>
      <c r="B672" s="177" t="s">
        <v>582</v>
      </c>
      <c r="C672" s="178">
        <v>454</v>
      </c>
      <c r="D672" s="179">
        <v>46405</v>
      </c>
      <c r="E672" s="177" t="s">
        <v>550</v>
      </c>
      <c r="F672" s="178">
        <v>12</v>
      </c>
      <c r="G672" s="178">
        <v>55</v>
      </c>
      <c r="H672" s="180"/>
    </row>
    <row r="673" spans="1:8" ht="20.399999999999999" x14ac:dyDescent="0.3">
      <c r="A673" s="177" t="s">
        <v>181</v>
      </c>
      <c r="B673" s="177" t="s">
        <v>582</v>
      </c>
      <c r="C673" s="178">
        <v>2</v>
      </c>
      <c r="D673" s="179">
        <v>46405</v>
      </c>
      <c r="E673" s="177" t="s">
        <v>550</v>
      </c>
      <c r="F673" s="178">
        <v>64</v>
      </c>
      <c r="G673" s="178">
        <v>450</v>
      </c>
      <c r="H673" s="180"/>
    </row>
    <row r="674" spans="1:8" ht="20.399999999999999" x14ac:dyDescent="0.3">
      <c r="A674" s="177" t="s">
        <v>181</v>
      </c>
      <c r="B674" s="177" t="s">
        <v>582</v>
      </c>
      <c r="C674" s="178">
        <v>8</v>
      </c>
      <c r="D674" s="179">
        <v>46405</v>
      </c>
      <c r="E674" s="177" t="s">
        <v>550</v>
      </c>
      <c r="F674" s="178">
        <v>64</v>
      </c>
      <c r="G674" s="180"/>
      <c r="H674" s="180"/>
    </row>
    <row r="675" spans="1:8" ht="20.399999999999999" x14ac:dyDescent="0.3">
      <c r="A675" s="177" t="s">
        <v>234</v>
      </c>
      <c r="B675" s="177" t="s">
        <v>582</v>
      </c>
      <c r="C675" s="178">
        <v>86</v>
      </c>
      <c r="D675" s="179">
        <v>46405</v>
      </c>
      <c r="E675" s="177" t="s">
        <v>550</v>
      </c>
      <c r="F675" s="178">
        <v>4</v>
      </c>
      <c r="G675" s="180"/>
      <c r="H675" s="180"/>
    </row>
    <row r="676" spans="1:8" x14ac:dyDescent="0.3">
      <c r="A676" s="177" t="s">
        <v>775</v>
      </c>
      <c r="B676" s="177" t="s">
        <v>650</v>
      </c>
      <c r="C676" s="178">
        <v>78</v>
      </c>
      <c r="D676" s="179">
        <v>46405</v>
      </c>
      <c r="E676" s="177" t="s">
        <v>550</v>
      </c>
      <c r="F676" s="178">
        <v>6</v>
      </c>
      <c r="G676" s="180"/>
      <c r="H676" s="178">
        <v>0</v>
      </c>
    </row>
    <row r="677" spans="1:8" ht="20.399999999999999" x14ac:dyDescent="0.3">
      <c r="A677" s="177" t="s">
        <v>220</v>
      </c>
      <c r="B677" s="177" t="s">
        <v>669</v>
      </c>
      <c r="C677" s="178">
        <v>134</v>
      </c>
      <c r="D677" s="179">
        <v>46406</v>
      </c>
      <c r="E677" s="177" t="s">
        <v>550</v>
      </c>
      <c r="F677" s="178">
        <v>8</v>
      </c>
      <c r="G677" s="180"/>
      <c r="H677" s="180"/>
    </row>
    <row r="678" spans="1:8" ht="20.399999999999999" x14ac:dyDescent="0.3">
      <c r="A678" s="177" t="s">
        <v>776</v>
      </c>
      <c r="B678" s="177" t="s">
        <v>662</v>
      </c>
      <c r="C678" s="178">
        <v>198</v>
      </c>
      <c r="D678" s="179">
        <v>46406</v>
      </c>
      <c r="E678" s="177" t="s">
        <v>550</v>
      </c>
      <c r="F678" s="178">
        <v>4</v>
      </c>
      <c r="G678" s="180"/>
      <c r="H678" s="178">
        <v>2</v>
      </c>
    </row>
    <row r="679" spans="1:8" ht="20.399999999999999" x14ac:dyDescent="0.3">
      <c r="A679" s="177" t="s">
        <v>306</v>
      </c>
      <c r="B679" s="177" t="s">
        <v>658</v>
      </c>
      <c r="C679" s="178">
        <v>204</v>
      </c>
      <c r="D679" s="179">
        <v>46406</v>
      </c>
      <c r="E679" s="177" t="s">
        <v>550</v>
      </c>
      <c r="F679" s="178">
        <v>16</v>
      </c>
      <c r="G679" s="180"/>
      <c r="H679" s="180"/>
    </row>
    <row r="680" spans="1:8" ht="20.399999999999999" x14ac:dyDescent="0.3">
      <c r="A680" s="177" t="s">
        <v>751</v>
      </c>
      <c r="B680" s="177" t="s">
        <v>651</v>
      </c>
      <c r="C680" s="178">
        <v>84</v>
      </c>
      <c r="D680" s="179">
        <v>46408</v>
      </c>
      <c r="E680" s="177" t="s">
        <v>550</v>
      </c>
      <c r="F680" s="178">
        <v>1</v>
      </c>
      <c r="G680" s="180"/>
      <c r="H680" s="180"/>
    </row>
    <row r="681" spans="1:8" ht="20.399999999999999" x14ac:dyDescent="0.3">
      <c r="A681" s="177" t="s">
        <v>215</v>
      </c>
      <c r="B681" s="177" t="s">
        <v>701</v>
      </c>
      <c r="C681" s="178">
        <v>44</v>
      </c>
      <c r="D681" s="179">
        <v>46408</v>
      </c>
      <c r="E681" s="177" t="s">
        <v>550</v>
      </c>
      <c r="F681" s="178">
        <v>8</v>
      </c>
      <c r="G681" s="180"/>
      <c r="H681" s="180"/>
    </row>
    <row r="682" spans="1:8" ht="20.399999999999999" x14ac:dyDescent="0.3">
      <c r="A682" s="177" t="s">
        <v>355</v>
      </c>
      <c r="B682" s="177" t="s">
        <v>686</v>
      </c>
      <c r="C682" s="178">
        <v>106</v>
      </c>
      <c r="D682" s="179">
        <v>46408</v>
      </c>
      <c r="E682" s="177" t="s">
        <v>550</v>
      </c>
      <c r="F682" s="178">
        <v>3</v>
      </c>
      <c r="G682" s="180"/>
      <c r="H682" s="180"/>
    </row>
    <row r="683" spans="1:8" ht="20.399999999999999" x14ac:dyDescent="0.3">
      <c r="A683" s="177" t="s">
        <v>253</v>
      </c>
      <c r="B683" s="177" t="s">
        <v>669</v>
      </c>
      <c r="C683" s="178">
        <v>150</v>
      </c>
      <c r="D683" s="179">
        <v>46411</v>
      </c>
      <c r="E683" s="177" t="s">
        <v>550</v>
      </c>
      <c r="F683" s="178">
        <v>4</v>
      </c>
      <c r="G683" s="180"/>
      <c r="H683" s="180"/>
    </row>
    <row r="684" spans="1:8" ht="20.399999999999999" x14ac:dyDescent="0.3">
      <c r="A684" s="177" t="s">
        <v>253</v>
      </c>
      <c r="B684" s="177" t="s">
        <v>669</v>
      </c>
      <c r="C684" s="178">
        <v>152</v>
      </c>
      <c r="D684" s="179">
        <v>46411</v>
      </c>
      <c r="E684" s="177" t="s">
        <v>550</v>
      </c>
      <c r="F684" s="178">
        <v>4</v>
      </c>
      <c r="G684" s="180"/>
      <c r="H684" s="180"/>
    </row>
    <row r="685" spans="1:8" ht="20.399999999999999" x14ac:dyDescent="0.3">
      <c r="A685" s="177" t="s">
        <v>253</v>
      </c>
      <c r="B685" s="177" t="s">
        <v>669</v>
      </c>
      <c r="C685" s="178">
        <v>154</v>
      </c>
      <c r="D685" s="179">
        <v>46411</v>
      </c>
      <c r="E685" s="177" t="s">
        <v>550</v>
      </c>
      <c r="F685" s="178">
        <v>4</v>
      </c>
      <c r="G685" s="178">
        <v>39</v>
      </c>
      <c r="H685" s="180"/>
    </row>
    <row r="686" spans="1:8" ht="20.399999999999999" x14ac:dyDescent="0.3">
      <c r="A686" s="177" t="s">
        <v>253</v>
      </c>
      <c r="B686" s="177" t="s">
        <v>669</v>
      </c>
      <c r="C686" s="178">
        <v>160</v>
      </c>
      <c r="D686" s="179">
        <v>46413</v>
      </c>
      <c r="E686" s="177" t="s">
        <v>550</v>
      </c>
      <c r="F686" s="178">
        <v>4</v>
      </c>
      <c r="G686" s="180"/>
      <c r="H686" s="180"/>
    </row>
    <row r="687" spans="1:8" ht="20.399999999999999" x14ac:dyDescent="0.3">
      <c r="A687" s="177" t="s">
        <v>253</v>
      </c>
      <c r="B687" s="177" t="s">
        <v>669</v>
      </c>
      <c r="C687" s="178">
        <v>162</v>
      </c>
      <c r="D687" s="179">
        <v>46413</v>
      </c>
      <c r="E687" s="177" t="s">
        <v>550</v>
      </c>
      <c r="F687" s="178">
        <v>4</v>
      </c>
      <c r="G687" s="180"/>
      <c r="H687" s="180"/>
    </row>
    <row r="688" spans="1:8" ht="20.399999999999999" x14ac:dyDescent="0.3">
      <c r="A688" s="177" t="s">
        <v>244</v>
      </c>
      <c r="B688" s="177" t="s">
        <v>669</v>
      </c>
      <c r="C688" s="178">
        <v>48</v>
      </c>
      <c r="D688" s="179">
        <v>46413</v>
      </c>
      <c r="E688" s="177" t="s">
        <v>550</v>
      </c>
      <c r="F688" s="178">
        <v>4</v>
      </c>
      <c r="G688" s="180"/>
      <c r="H688" s="180"/>
    </row>
    <row r="689" spans="1:8" ht="20.399999999999999" x14ac:dyDescent="0.3">
      <c r="A689" s="177" t="s">
        <v>253</v>
      </c>
      <c r="B689" s="177" t="s">
        <v>669</v>
      </c>
      <c r="C689" s="178">
        <v>50</v>
      </c>
      <c r="D689" s="179">
        <v>46413</v>
      </c>
      <c r="E689" s="177" t="s">
        <v>550</v>
      </c>
      <c r="F689" s="178">
        <v>4</v>
      </c>
      <c r="G689" s="180"/>
      <c r="H689" s="180"/>
    </row>
    <row r="690" spans="1:8" ht="20.399999999999999" x14ac:dyDescent="0.3">
      <c r="A690" s="177" t="s">
        <v>611</v>
      </c>
      <c r="B690" s="177" t="s">
        <v>669</v>
      </c>
      <c r="C690" s="178">
        <v>170</v>
      </c>
      <c r="D690" s="179">
        <v>46413</v>
      </c>
      <c r="E690" s="177" t="s">
        <v>550</v>
      </c>
      <c r="F690" s="178">
        <v>12</v>
      </c>
      <c r="G690" s="180"/>
      <c r="H690" s="180"/>
    </row>
    <row r="691" spans="1:8" ht="20.399999999999999" x14ac:dyDescent="0.3">
      <c r="A691" s="177" t="s">
        <v>222</v>
      </c>
      <c r="B691" s="177" t="s">
        <v>669</v>
      </c>
      <c r="C691" s="178">
        <v>180</v>
      </c>
      <c r="D691" s="179">
        <v>46413</v>
      </c>
      <c r="E691" s="177" t="s">
        <v>550</v>
      </c>
      <c r="F691" s="178">
        <v>12</v>
      </c>
      <c r="G691" s="180"/>
      <c r="H691" s="180"/>
    </row>
    <row r="692" spans="1:8" ht="20.399999999999999" x14ac:dyDescent="0.3">
      <c r="A692" s="177" t="s">
        <v>178</v>
      </c>
      <c r="B692" s="177" t="s">
        <v>682</v>
      </c>
      <c r="C692" s="178">
        <v>4</v>
      </c>
      <c r="D692" s="179">
        <v>46413</v>
      </c>
      <c r="E692" s="177" t="s">
        <v>550</v>
      </c>
      <c r="F692" s="178">
        <v>12</v>
      </c>
      <c r="G692" s="180"/>
      <c r="H692" s="180"/>
    </row>
    <row r="693" spans="1:8" ht="20.399999999999999" x14ac:dyDescent="0.3">
      <c r="A693" s="177" t="s">
        <v>162</v>
      </c>
      <c r="B693" s="177" t="s">
        <v>777</v>
      </c>
      <c r="C693" s="178">
        <v>6</v>
      </c>
      <c r="D693" s="179">
        <v>46413</v>
      </c>
      <c r="E693" s="177" t="s">
        <v>550</v>
      </c>
      <c r="F693" s="178">
        <v>30</v>
      </c>
      <c r="G693" s="180"/>
      <c r="H693" s="180"/>
    </row>
    <row r="694" spans="1:8" ht="20.399999999999999" x14ac:dyDescent="0.3">
      <c r="A694" s="177" t="s">
        <v>245</v>
      </c>
      <c r="B694" s="177" t="s">
        <v>740</v>
      </c>
      <c r="C694" s="178">
        <v>62</v>
      </c>
      <c r="D694" s="179">
        <v>46413</v>
      </c>
      <c r="E694" s="177" t="s">
        <v>550</v>
      </c>
      <c r="F694" s="178">
        <v>4</v>
      </c>
      <c r="G694" s="180"/>
      <c r="H694" s="180"/>
    </row>
    <row r="695" spans="1:8" ht="20.399999999999999" x14ac:dyDescent="0.3">
      <c r="A695" s="177" t="s">
        <v>245</v>
      </c>
      <c r="B695" s="177" t="s">
        <v>740</v>
      </c>
      <c r="C695" s="178">
        <v>50</v>
      </c>
      <c r="D695" s="179">
        <v>46413</v>
      </c>
      <c r="E695" s="177" t="s">
        <v>550</v>
      </c>
      <c r="F695" s="178">
        <v>12</v>
      </c>
      <c r="G695" s="180"/>
      <c r="H695" s="180"/>
    </row>
    <row r="696" spans="1:8" ht="20.399999999999999" x14ac:dyDescent="0.3">
      <c r="A696" s="177" t="s">
        <v>162</v>
      </c>
      <c r="B696" s="177" t="s">
        <v>653</v>
      </c>
      <c r="C696" s="178">
        <v>20</v>
      </c>
      <c r="D696" s="179">
        <v>46413</v>
      </c>
      <c r="E696" s="177" t="s">
        <v>550</v>
      </c>
      <c r="F696" s="178">
        <v>315</v>
      </c>
      <c r="G696" s="180"/>
      <c r="H696" s="180"/>
    </row>
    <row r="697" spans="1:8" x14ac:dyDescent="0.3">
      <c r="A697" s="177" t="s">
        <v>778</v>
      </c>
      <c r="B697" s="177" t="s">
        <v>549</v>
      </c>
      <c r="C697" s="178">
        <v>6</v>
      </c>
      <c r="D697" s="179">
        <v>46413</v>
      </c>
      <c r="E697" s="177" t="s">
        <v>550</v>
      </c>
      <c r="F697" s="178">
        <v>2</v>
      </c>
      <c r="G697" s="180"/>
      <c r="H697" s="180"/>
    </row>
    <row r="698" spans="1:8" ht="20.399999999999999" x14ac:dyDescent="0.3">
      <c r="A698" s="177" t="s">
        <v>779</v>
      </c>
      <c r="B698" s="177" t="s">
        <v>686</v>
      </c>
      <c r="C698" s="178">
        <v>38</v>
      </c>
      <c r="D698" s="179">
        <v>46415</v>
      </c>
      <c r="E698" s="177" t="s">
        <v>550</v>
      </c>
      <c r="F698" s="178">
        <v>7</v>
      </c>
      <c r="G698" s="180"/>
      <c r="H698" s="178">
        <v>3</v>
      </c>
    </row>
    <row r="699" spans="1:8" ht="20.399999999999999" x14ac:dyDescent="0.3">
      <c r="A699" s="177" t="s">
        <v>779</v>
      </c>
      <c r="B699" s="177" t="s">
        <v>686</v>
      </c>
      <c r="C699" s="178">
        <v>40</v>
      </c>
      <c r="D699" s="179">
        <v>46415</v>
      </c>
      <c r="E699" s="177" t="s">
        <v>550</v>
      </c>
      <c r="F699" s="178">
        <v>24</v>
      </c>
      <c r="G699" s="180"/>
      <c r="H699" s="178">
        <v>3</v>
      </c>
    </row>
    <row r="700" spans="1:8" ht="20.399999999999999" x14ac:dyDescent="0.3">
      <c r="A700" s="177" t="s">
        <v>49</v>
      </c>
      <c r="B700" s="177" t="s">
        <v>662</v>
      </c>
      <c r="C700" s="178">
        <v>240</v>
      </c>
      <c r="D700" s="179">
        <v>46417</v>
      </c>
      <c r="E700" s="177" t="s">
        <v>550</v>
      </c>
      <c r="F700" s="178">
        <v>12</v>
      </c>
      <c r="G700" s="180"/>
      <c r="H700" s="180"/>
    </row>
    <row r="701" spans="1:8" ht="20.399999999999999" x14ac:dyDescent="0.3">
      <c r="A701" s="177" t="s">
        <v>307</v>
      </c>
      <c r="B701" s="177" t="s">
        <v>740</v>
      </c>
      <c r="C701" s="178">
        <v>48</v>
      </c>
      <c r="D701" s="179">
        <v>46417</v>
      </c>
      <c r="E701" s="177" t="s">
        <v>550</v>
      </c>
      <c r="F701" s="178">
        <v>12</v>
      </c>
      <c r="G701" s="180"/>
      <c r="H701" s="178">
        <v>0</v>
      </c>
    </row>
    <row r="702" spans="1:8" ht="20.399999999999999" x14ac:dyDescent="0.3">
      <c r="A702" s="177" t="s">
        <v>49</v>
      </c>
      <c r="B702" s="177" t="s">
        <v>686</v>
      </c>
      <c r="C702" s="178">
        <v>238</v>
      </c>
      <c r="D702" s="179">
        <v>46417</v>
      </c>
      <c r="E702" s="177" t="s">
        <v>550</v>
      </c>
      <c r="F702" s="178">
        <v>5</v>
      </c>
      <c r="G702" s="180"/>
      <c r="H702" s="180"/>
    </row>
    <row r="703" spans="1:8" ht="20.399999999999999" x14ac:dyDescent="0.3">
      <c r="A703" s="177" t="s">
        <v>296</v>
      </c>
      <c r="B703" s="177" t="s">
        <v>582</v>
      </c>
      <c r="C703" s="178">
        <v>72</v>
      </c>
      <c r="D703" s="179">
        <v>46417</v>
      </c>
      <c r="E703" s="177" t="s">
        <v>550</v>
      </c>
      <c r="F703" s="178">
        <v>8</v>
      </c>
      <c r="G703" s="178">
        <v>50</v>
      </c>
      <c r="H703" s="180"/>
    </row>
    <row r="704" spans="1:8" ht="20.399999999999999" x14ac:dyDescent="0.3">
      <c r="A704" s="177" t="s">
        <v>780</v>
      </c>
      <c r="B704" s="177" t="s">
        <v>582</v>
      </c>
      <c r="C704" s="178">
        <v>166</v>
      </c>
      <c r="D704" s="179">
        <v>46417</v>
      </c>
      <c r="E704" s="177" t="s">
        <v>550</v>
      </c>
      <c r="F704" s="178">
        <v>2</v>
      </c>
      <c r="G704" s="180"/>
      <c r="H704" s="180"/>
    </row>
    <row r="705" spans="1:8" ht="20.399999999999999" x14ac:dyDescent="0.3">
      <c r="A705" s="177" t="s">
        <v>780</v>
      </c>
      <c r="B705" s="177" t="s">
        <v>582</v>
      </c>
      <c r="C705" s="178">
        <v>168</v>
      </c>
      <c r="D705" s="179">
        <v>46417</v>
      </c>
      <c r="E705" s="177" t="s">
        <v>550</v>
      </c>
      <c r="F705" s="178">
        <v>6</v>
      </c>
      <c r="G705" s="180"/>
      <c r="H705" s="180"/>
    </row>
    <row r="706" spans="1:8" x14ac:dyDescent="0.3">
      <c r="A706" s="177" t="s">
        <v>781</v>
      </c>
      <c r="B706" s="177" t="s">
        <v>591</v>
      </c>
      <c r="C706" s="178">
        <v>28</v>
      </c>
      <c r="D706" s="179">
        <v>46418</v>
      </c>
      <c r="E706" s="177" t="s">
        <v>550</v>
      </c>
      <c r="F706" s="178">
        <v>4</v>
      </c>
      <c r="G706" s="180"/>
      <c r="H706" s="180"/>
    </row>
    <row r="707" spans="1:8" ht="20.399999999999999" x14ac:dyDescent="0.3">
      <c r="A707" s="177" t="s">
        <v>595</v>
      </c>
      <c r="B707" s="177" t="s">
        <v>594</v>
      </c>
      <c r="C707" s="178">
        <v>46</v>
      </c>
      <c r="D707" s="179">
        <v>46418</v>
      </c>
      <c r="E707" s="177" t="s">
        <v>550</v>
      </c>
      <c r="F707" s="178">
        <v>3</v>
      </c>
      <c r="G707" s="180"/>
      <c r="H707" s="180"/>
    </row>
    <row r="708" spans="1:8" ht="20.399999999999999" x14ac:dyDescent="0.3">
      <c r="A708" s="177" t="s">
        <v>269</v>
      </c>
      <c r="B708" s="177" t="s">
        <v>774</v>
      </c>
      <c r="C708" s="178">
        <v>2</v>
      </c>
      <c r="D708" s="179">
        <v>46419</v>
      </c>
      <c r="E708" s="177" t="s">
        <v>550</v>
      </c>
      <c r="F708" s="178">
        <v>2</v>
      </c>
      <c r="G708" s="180"/>
      <c r="H708" s="178">
        <v>0</v>
      </c>
    </row>
    <row r="709" spans="1:8" ht="20.399999999999999" x14ac:dyDescent="0.3">
      <c r="A709" s="177" t="s">
        <v>333</v>
      </c>
      <c r="B709" s="177" t="s">
        <v>662</v>
      </c>
      <c r="C709" s="178">
        <v>78</v>
      </c>
      <c r="D709" s="179">
        <v>46419</v>
      </c>
      <c r="E709" s="177" t="s">
        <v>550</v>
      </c>
      <c r="F709" s="178">
        <v>6</v>
      </c>
      <c r="G709" s="180"/>
      <c r="H709" s="178">
        <v>2</v>
      </c>
    </row>
    <row r="710" spans="1:8" ht="20.399999999999999" x14ac:dyDescent="0.3">
      <c r="A710" s="177" t="s">
        <v>288</v>
      </c>
      <c r="B710" s="177" t="s">
        <v>662</v>
      </c>
      <c r="C710" s="178">
        <v>40</v>
      </c>
      <c r="D710" s="179">
        <v>46419</v>
      </c>
      <c r="E710" s="177" t="s">
        <v>550</v>
      </c>
      <c r="F710" s="178">
        <v>12</v>
      </c>
      <c r="G710" s="180"/>
      <c r="H710" s="178">
        <v>2</v>
      </c>
    </row>
    <row r="711" spans="1:8" ht="20.399999999999999" x14ac:dyDescent="0.3">
      <c r="A711" s="177" t="s">
        <v>342</v>
      </c>
      <c r="B711" s="177" t="s">
        <v>656</v>
      </c>
      <c r="C711" s="178">
        <v>144</v>
      </c>
      <c r="D711" s="179">
        <v>46419</v>
      </c>
      <c r="E711" s="177" t="s">
        <v>550</v>
      </c>
      <c r="F711" s="178">
        <v>1</v>
      </c>
      <c r="G711" s="180"/>
      <c r="H711" s="180"/>
    </row>
    <row r="712" spans="1:8" ht="20.399999999999999" x14ac:dyDescent="0.3">
      <c r="A712" s="177" t="s">
        <v>191</v>
      </c>
      <c r="B712" s="177" t="s">
        <v>656</v>
      </c>
      <c r="C712" s="178">
        <v>228</v>
      </c>
      <c r="D712" s="179">
        <v>46419</v>
      </c>
      <c r="E712" s="177" t="s">
        <v>550</v>
      </c>
      <c r="F712" s="178">
        <v>12</v>
      </c>
      <c r="G712" s="180"/>
      <c r="H712" s="180"/>
    </row>
    <row r="713" spans="1:8" ht="20.399999999999999" x14ac:dyDescent="0.3">
      <c r="A713" s="177" t="s">
        <v>581</v>
      </c>
      <c r="B713" s="177" t="s">
        <v>552</v>
      </c>
      <c r="C713" s="178">
        <v>54</v>
      </c>
      <c r="D713" s="179">
        <v>46419</v>
      </c>
      <c r="E713" s="177" t="s">
        <v>550</v>
      </c>
      <c r="F713" s="178">
        <v>22</v>
      </c>
      <c r="G713" s="180"/>
      <c r="H713" s="180"/>
    </row>
    <row r="714" spans="1:8" ht="20.399999999999999" x14ac:dyDescent="0.3">
      <c r="A714" s="177" t="s">
        <v>782</v>
      </c>
      <c r="B714" s="177" t="s">
        <v>552</v>
      </c>
      <c r="C714" s="178">
        <v>184</v>
      </c>
      <c r="D714" s="179">
        <v>46419</v>
      </c>
      <c r="E714" s="177" t="s">
        <v>550</v>
      </c>
      <c r="F714" s="178">
        <v>24</v>
      </c>
      <c r="G714" s="180"/>
      <c r="H714" s="180"/>
    </row>
    <row r="715" spans="1:8" ht="20.399999999999999" x14ac:dyDescent="0.3">
      <c r="A715" s="177" t="s">
        <v>783</v>
      </c>
      <c r="B715" s="177" t="s">
        <v>552</v>
      </c>
      <c r="C715" s="178">
        <v>186</v>
      </c>
      <c r="D715" s="179">
        <v>46419</v>
      </c>
      <c r="E715" s="177" t="s">
        <v>550</v>
      </c>
      <c r="F715" s="178">
        <v>7</v>
      </c>
      <c r="G715" s="180"/>
      <c r="H715" s="180"/>
    </row>
    <row r="716" spans="1:8" ht="20.399999999999999" x14ac:dyDescent="0.3">
      <c r="A716" s="177" t="s">
        <v>784</v>
      </c>
      <c r="B716" s="177" t="s">
        <v>552</v>
      </c>
      <c r="C716" s="178">
        <v>164</v>
      </c>
      <c r="D716" s="179">
        <v>46419</v>
      </c>
      <c r="E716" s="177" t="s">
        <v>550</v>
      </c>
      <c r="F716" s="178">
        <v>28</v>
      </c>
      <c r="G716" s="180"/>
      <c r="H716" s="180"/>
    </row>
    <row r="717" spans="1:8" ht="20.399999999999999" x14ac:dyDescent="0.3">
      <c r="A717" s="177" t="s">
        <v>782</v>
      </c>
      <c r="B717" s="177" t="s">
        <v>552</v>
      </c>
      <c r="C717" s="178">
        <v>208</v>
      </c>
      <c r="D717" s="179">
        <v>46419</v>
      </c>
      <c r="E717" s="177" t="s">
        <v>550</v>
      </c>
      <c r="F717" s="178">
        <v>10</v>
      </c>
      <c r="G717" s="180"/>
      <c r="H717" s="180"/>
    </row>
    <row r="718" spans="1:8" ht="20.399999999999999" x14ac:dyDescent="0.3">
      <c r="A718" s="177" t="s">
        <v>316</v>
      </c>
      <c r="B718" s="177" t="s">
        <v>582</v>
      </c>
      <c r="C718" s="178">
        <v>486</v>
      </c>
      <c r="D718" s="179">
        <v>46419</v>
      </c>
      <c r="E718" s="177" t="s">
        <v>550</v>
      </c>
      <c r="F718" s="178">
        <v>12</v>
      </c>
      <c r="G718" s="180"/>
      <c r="H718" s="180"/>
    </row>
    <row r="719" spans="1:8" ht="20.399999999999999" x14ac:dyDescent="0.3">
      <c r="A719" s="177" t="s">
        <v>192</v>
      </c>
      <c r="B719" s="177" t="s">
        <v>582</v>
      </c>
      <c r="C719" s="178">
        <v>418</v>
      </c>
      <c r="D719" s="179">
        <v>46420</v>
      </c>
      <c r="E719" s="177" t="s">
        <v>550</v>
      </c>
      <c r="F719" s="178">
        <v>1</v>
      </c>
      <c r="G719" s="180"/>
      <c r="H719" s="180"/>
    </row>
    <row r="720" spans="1:8" ht="20.399999999999999" x14ac:dyDescent="0.3">
      <c r="A720" s="177" t="s">
        <v>229</v>
      </c>
      <c r="B720" s="177" t="s">
        <v>632</v>
      </c>
      <c r="C720" s="178">
        <v>2</v>
      </c>
      <c r="D720" s="179">
        <v>46420</v>
      </c>
      <c r="E720" s="177" t="s">
        <v>550</v>
      </c>
      <c r="F720" s="178">
        <v>5</v>
      </c>
      <c r="G720" s="180"/>
      <c r="H720" s="180"/>
    </row>
    <row r="721" spans="1:8" ht="20.399999999999999" x14ac:dyDescent="0.3">
      <c r="A721" s="177" t="s">
        <v>128</v>
      </c>
      <c r="B721" s="177" t="s">
        <v>582</v>
      </c>
      <c r="C721" s="178">
        <v>266</v>
      </c>
      <c r="D721" s="179">
        <v>46420</v>
      </c>
      <c r="E721" s="177" t="s">
        <v>550</v>
      </c>
      <c r="F721" s="178">
        <v>8</v>
      </c>
      <c r="G721" s="180"/>
      <c r="H721" s="180"/>
    </row>
    <row r="722" spans="1:8" ht="20.399999999999999" x14ac:dyDescent="0.3">
      <c r="A722" s="177" t="s">
        <v>303</v>
      </c>
      <c r="B722" s="177" t="s">
        <v>582</v>
      </c>
      <c r="C722" s="178">
        <v>354</v>
      </c>
      <c r="D722" s="179">
        <v>46420</v>
      </c>
      <c r="E722" s="177" t="s">
        <v>550</v>
      </c>
      <c r="F722" s="178">
        <v>18</v>
      </c>
      <c r="G722" s="180"/>
      <c r="H722" s="178">
        <v>52</v>
      </c>
    </row>
    <row r="723" spans="1:8" ht="20.399999999999999" x14ac:dyDescent="0.3">
      <c r="A723" s="177" t="s">
        <v>302</v>
      </c>
      <c r="B723" s="177" t="s">
        <v>582</v>
      </c>
      <c r="C723" s="178">
        <v>298</v>
      </c>
      <c r="D723" s="179">
        <v>46420</v>
      </c>
      <c r="E723" s="177" t="s">
        <v>550</v>
      </c>
      <c r="F723" s="178">
        <v>4</v>
      </c>
      <c r="G723" s="180"/>
      <c r="H723" s="180"/>
    </row>
    <row r="724" spans="1:8" ht="20.399999999999999" x14ac:dyDescent="0.3">
      <c r="A724" s="177" t="s">
        <v>117</v>
      </c>
      <c r="B724" s="177" t="s">
        <v>582</v>
      </c>
      <c r="C724" s="178">
        <v>366</v>
      </c>
      <c r="D724" s="179">
        <v>46420</v>
      </c>
      <c r="E724" s="177" t="s">
        <v>550</v>
      </c>
      <c r="F724" s="178">
        <v>12</v>
      </c>
      <c r="G724" s="180"/>
      <c r="H724" s="180"/>
    </row>
    <row r="725" spans="1:8" ht="20.399999999999999" x14ac:dyDescent="0.3">
      <c r="A725" s="177" t="s">
        <v>118</v>
      </c>
      <c r="B725" s="177" t="s">
        <v>582</v>
      </c>
      <c r="C725" s="178">
        <v>388</v>
      </c>
      <c r="D725" s="179">
        <v>46420</v>
      </c>
      <c r="E725" s="177" t="s">
        <v>550</v>
      </c>
      <c r="F725" s="178">
        <v>6</v>
      </c>
      <c r="G725" s="180"/>
      <c r="H725" s="180"/>
    </row>
    <row r="726" spans="1:8" ht="20.399999999999999" x14ac:dyDescent="0.3">
      <c r="A726" s="177" t="s">
        <v>785</v>
      </c>
      <c r="B726" s="177" t="s">
        <v>686</v>
      </c>
      <c r="C726" s="178">
        <v>8</v>
      </c>
      <c r="D726" s="179">
        <v>46420</v>
      </c>
      <c r="E726" s="177" t="s">
        <v>550</v>
      </c>
      <c r="F726" s="178">
        <v>11</v>
      </c>
      <c r="G726" s="180"/>
      <c r="H726" s="180"/>
    </row>
    <row r="727" spans="1:8" ht="20.399999999999999" x14ac:dyDescent="0.3">
      <c r="A727" s="177" t="s">
        <v>321</v>
      </c>
      <c r="B727" s="177" t="s">
        <v>740</v>
      </c>
      <c r="C727" s="178">
        <v>32</v>
      </c>
      <c r="D727" s="179">
        <v>46420</v>
      </c>
      <c r="E727" s="177" t="s">
        <v>550</v>
      </c>
      <c r="F727" s="178">
        <v>10</v>
      </c>
      <c r="G727" s="180"/>
      <c r="H727" s="178">
        <v>0</v>
      </c>
    </row>
    <row r="728" spans="1:8" ht="20.399999999999999" x14ac:dyDescent="0.3">
      <c r="A728" s="177" t="s">
        <v>140</v>
      </c>
      <c r="B728" s="177" t="s">
        <v>658</v>
      </c>
      <c r="C728" s="178">
        <v>440</v>
      </c>
      <c r="D728" s="179">
        <v>46420</v>
      </c>
      <c r="E728" s="177" t="s">
        <v>550</v>
      </c>
      <c r="F728" s="178">
        <v>4</v>
      </c>
      <c r="G728" s="180"/>
      <c r="H728" s="180"/>
    </row>
    <row r="729" spans="1:8" x14ac:dyDescent="0.3">
      <c r="A729" s="177" t="s">
        <v>786</v>
      </c>
      <c r="B729" s="177" t="s">
        <v>552</v>
      </c>
      <c r="C729" s="178">
        <v>192</v>
      </c>
      <c r="D729" s="179">
        <v>46421</v>
      </c>
      <c r="E729" s="177" t="s">
        <v>550</v>
      </c>
      <c r="F729" s="178">
        <v>8</v>
      </c>
      <c r="G729" s="180"/>
      <c r="H729" s="178">
        <v>88</v>
      </c>
    </row>
    <row r="730" spans="1:8" ht="20.399999999999999" x14ac:dyDescent="0.3">
      <c r="A730" s="177" t="s">
        <v>787</v>
      </c>
      <c r="B730" s="177" t="s">
        <v>552</v>
      </c>
      <c r="C730" s="178">
        <v>114</v>
      </c>
      <c r="D730" s="179">
        <v>46421</v>
      </c>
      <c r="E730" s="177" t="s">
        <v>550</v>
      </c>
      <c r="F730" s="178">
        <v>1</v>
      </c>
      <c r="G730" s="180"/>
      <c r="H730" s="180"/>
    </row>
    <row r="731" spans="1:8" x14ac:dyDescent="0.3">
      <c r="A731" s="177" t="s">
        <v>788</v>
      </c>
      <c r="B731" s="177" t="s">
        <v>552</v>
      </c>
      <c r="C731" s="178">
        <v>324</v>
      </c>
      <c r="D731" s="179">
        <v>46421</v>
      </c>
      <c r="E731" s="177" t="s">
        <v>550</v>
      </c>
      <c r="F731" s="178">
        <v>3</v>
      </c>
      <c r="G731" s="180"/>
      <c r="H731" s="180"/>
    </row>
    <row r="732" spans="1:8" ht="20.399999999999999" x14ac:dyDescent="0.3">
      <c r="A732" s="177" t="s">
        <v>708</v>
      </c>
      <c r="B732" s="177" t="s">
        <v>686</v>
      </c>
      <c r="C732" s="178">
        <v>34</v>
      </c>
      <c r="D732" s="179">
        <v>46422</v>
      </c>
      <c r="E732" s="177" t="s">
        <v>550</v>
      </c>
      <c r="F732" s="178">
        <v>12</v>
      </c>
      <c r="G732" s="180"/>
      <c r="H732" s="180"/>
    </row>
    <row r="733" spans="1:8" ht="20.399999999999999" x14ac:dyDescent="0.3">
      <c r="A733" s="177" t="s">
        <v>204</v>
      </c>
      <c r="B733" s="177" t="s">
        <v>669</v>
      </c>
      <c r="C733" s="178">
        <v>188</v>
      </c>
      <c r="D733" s="179">
        <v>46422</v>
      </c>
      <c r="E733" s="177" t="s">
        <v>550</v>
      </c>
      <c r="F733" s="178">
        <v>4</v>
      </c>
      <c r="G733" s="180"/>
      <c r="H733" s="180"/>
    </row>
    <row r="734" spans="1:8" ht="20.399999999999999" x14ac:dyDescent="0.3">
      <c r="A734" s="177" t="s">
        <v>205</v>
      </c>
      <c r="B734" s="177" t="s">
        <v>669</v>
      </c>
      <c r="C734" s="178">
        <v>204</v>
      </c>
      <c r="D734" s="179">
        <v>46422</v>
      </c>
      <c r="E734" s="177" t="s">
        <v>550</v>
      </c>
      <c r="F734" s="178">
        <v>4</v>
      </c>
      <c r="G734" s="180"/>
      <c r="H734" s="180"/>
    </row>
    <row r="735" spans="1:8" ht="20.399999999999999" x14ac:dyDescent="0.3">
      <c r="A735" s="177" t="s">
        <v>170</v>
      </c>
      <c r="B735" s="177" t="s">
        <v>695</v>
      </c>
      <c r="C735" s="178">
        <v>68</v>
      </c>
      <c r="D735" s="179">
        <v>46425</v>
      </c>
      <c r="E735" s="177" t="s">
        <v>550</v>
      </c>
      <c r="F735" s="178">
        <v>24</v>
      </c>
      <c r="G735" s="180"/>
      <c r="H735" s="178">
        <v>0</v>
      </c>
    </row>
    <row r="736" spans="1:8" ht="20.399999999999999" x14ac:dyDescent="0.3">
      <c r="A736" s="177" t="s">
        <v>626</v>
      </c>
      <c r="B736" s="177" t="s">
        <v>552</v>
      </c>
      <c r="C736" s="178">
        <v>366</v>
      </c>
      <c r="D736" s="179">
        <v>46427</v>
      </c>
      <c r="E736" s="177" t="s">
        <v>550</v>
      </c>
      <c r="F736" s="178">
        <v>12</v>
      </c>
      <c r="G736" s="180"/>
      <c r="H736" s="180"/>
    </row>
    <row r="737" spans="1:8" ht="20.399999999999999" x14ac:dyDescent="0.3">
      <c r="A737" s="177" t="s">
        <v>789</v>
      </c>
      <c r="B737" s="177" t="s">
        <v>552</v>
      </c>
      <c r="C737" s="178">
        <v>370</v>
      </c>
      <c r="D737" s="179">
        <v>46427</v>
      </c>
      <c r="E737" s="177" t="s">
        <v>550</v>
      </c>
      <c r="F737" s="178">
        <v>12</v>
      </c>
      <c r="G737" s="180"/>
      <c r="H737" s="180"/>
    </row>
    <row r="738" spans="1:8" ht="20.399999999999999" x14ac:dyDescent="0.3">
      <c r="A738" s="177" t="s">
        <v>790</v>
      </c>
      <c r="B738" s="177" t="s">
        <v>552</v>
      </c>
      <c r="C738" s="178">
        <v>122</v>
      </c>
      <c r="D738" s="179">
        <v>46427</v>
      </c>
      <c r="E738" s="177" t="s">
        <v>550</v>
      </c>
      <c r="F738" s="178">
        <v>12</v>
      </c>
      <c r="G738" s="180"/>
      <c r="H738" s="180"/>
    </row>
    <row r="739" spans="1:8" ht="20.399999999999999" x14ac:dyDescent="0.3">
      <c r="A739" s="177" t="s">
        <v>791</v>
      </c>
      <c r="B739" s="177" t="s">
        <v>552</v>
      </c>
      <c r="C739" s="178">
        <v>124</v>
      </c>
      <c r="D739" s="179">
        <v>46427</v>
      </c>
      <c r="E739" s="177" t="s">
        <v>550</v>
      </c>
      <c r="F739" s="178">
        <v>12</v>
      </c>
      <c r="G739" s="180"/>
      <c r="H739" s="180"/>
    </row>
    <row r="740" spans="1:8" ht="20.399999999999999" x14ac:dyDescent="0.3">
      <c r="A740" s="177" t="s">
        <v>570</v>
      </c>
      <c r="B740" s="177" t="s">
        <v>552</v>
      </c>
      <c r="C740" s="178">
        <v>126</v>
      </c>
      <c r="D740" s="179">
        <v>46427</v>
      </c>
      <c r="E740" s="177" t="s">
        <v>550</v>
      </c>
      <c r="F740" s="178">
        <v>12</v>
      </c>
      <c r="G740" s="180"/>
      <c r="H740" s="180"/>
    </row>
    <row r="741" spans="1:8" ht="20.399999999999999" x14ac:dyDescent="0.3">
      <c r="A741" s="177" t="s">
        <v>792</v>
      </c>
      <c r="B741" s="177" t="s">
        <v>552</v>
      </c>
      <c r="C741" s="178">
        <v>278</v>
      </c>
      <c r="D741" s="179">
        <v>46427</v>
      </c>
      <c r="E741" s="177" t="s">
        <v>550</v>
      </c>
      <c r="F741" s="178">
        <v>12</v>
      </c>
      <c r="G741" s="180"/>
      <c r="H741" s="180"/>
    </row>
    <row r="742" spans="1:8" ht="20.399999999999999" x14ac:dyDescent="0.3">
      <c r="A742" s="177" t="s">
        <v>576</v>
      </c>
      <c r="B742" s="177" t="s">
        <v>552</v>
      </c>
      <c r="C742" s="178">
        <v>218</v>
      </c>
      <c r="D742" s="179">
        <v>46427</v>
      </c>
      <c r="E742" s="177" t="s">
        <v>550</v>
      </c>
      <c r="F742" s="178">
        <v>12</v>
      </c>
      <c r="G742" s="180"/>
      <c r="H742" s="180"/>
    </row>
    <row r="743" spans="1:8" ht="20.399999999999999" x14ac:dyDescent="0.3">
      <c r="A743" s="177" t="s">
        <v>625</v>
      </c>
      <c r="B743" s="177" t="s">
        <v>552</v>
      </c>
      <c r="C743" s="178">
        <v>220</v>
      </c>
      <c r="D743" s="179">
        <v>46427</v>
      </c>
      <c r="E743" s="177" t="s">
        <v>550</v>
      </c>
      <c r="F743" s="178">
        <v>12</v>
      </c>
      <c r="G743" s="180"/>
      <c r="H743" s="180"/>
    </row>
    <row r="744" spans="1:8" x14ac:dyDescent="0.3">
      <c r="A744" s="177" t="s">
        <v>793</v>
      </c>
      <c r="B744" s="177" t="s">
        <v>552</v>
      </c>
      <c r="C744" s="178">
        <v>222</v>
      </c>
      <c r="D744" s="179">
        <v>46427</v>
      </c>
      <c r="E744" s="177" t="s">
        <v>550</v>
      </c>
      <c r="F744" s="178">
        <v>12</v>
      </c>
      <c r="G744" s="180"/>
      <c r="H744" s="180"/>
    </row>
    <row r="745" spans="1:8" x14ac:dyDescent="0.3">
      <c r="A745" s="177" t="s">
        <v>778</v>
      </c>
      <c r="B745" s="177" t="s">
        <v>549</v>
      </c>
      <c r="C745" s="178">
        <v>42</v>
      </c>
      <c r="D745" s="179">
        <v>46427</v>
      </c>
      <c r="E745" s="177" t="s">
        <v>550</v>
      </c>
      <c r="F745" s="178">
        <v>48</v>
      </c>
      <c r="G745" s="180"/>
      <c r="H745" s="180"/>
    </row>
    <row r="746" spans="1:8" ht="20.399999999999999" x14ac:dyDescent="0.3">
      <c r="A746" s="177" t="s">
        <v>194</v>
      </c>
      <c r="B746" s="177" t="s">
        <v>658</v>
      </c>
      <c r="C746" s="178">
        <v>278</v>
      </c>
      <c r="D746" s="179">
        <v>46428</v>
      </c>
      <c r="E746" s="177" t="s">
        <v>550</v>
      </c>
      <c r="F746" s="178">
        <v>1</v>
      </c>
      <c r="G746" s="178">
        <v>29</v>
      </c>
      <c r="H746" s="180"/>
    </row>
    <row r="747" spans="1:8" ht="20.399999999999999" x14ac:dyDescent="0.3">
      <c r="A747" s="177" t="s">
        <v>194</v>
      </c>
      <c r="B747" s="177" t="s">
        <v>658</v>
      </c>
      <c r="C747" s="178">
        <v>154</v>
      </c>
      <c r="D747" s="179">
        <v>46428</v>
      </c>
      <c r="E747" s="177" t="s">
        <v>550</v>
      </c>
      <c r="F747" s="178">
        <v>12</v>
      </c>
      <c r="G747" s="180"/>
      <c r="H747" s="180"/>
    </row>
    <row r="748" spans="1:8" ht="20.399999999999999" x14ac:dyDescent="0.3">
      <c r="A748" s="177" t="s">
        <v>703</v>
      </c>
      <c r="B748" s="177" t="s">
        <v>686</v>
      </c>
      <c r="C748" s="178">
        <v>30</v>
      </c>
      <c r="D748" s="179">
        <v>46428</v>
      </c>
      <c r="E748" s="177" t="s">
        <v>550</v>
      </c>
      <c r="F748" s="178">
        <v>12</v>
      </c>
      <c r="G748" s="180"/>
      <c r="H748" s="180"/>
    </row>
    <row r="749" spans="1:8" ht="20.399999999999999" x14ac:dyDescent="0.3">
      <c r="A749" s="177" t="s">
        <v>240</v>
      </c>
      <c r="B749" s="177" t="s">
        <v>656</v>
      </c>
      <c r="C749" s="178">
        <v>182</v>
      </c>
      <c r="D749" s="179">
        <v>46428</v>
      </c>
      <c r="E749" s="177" t="s">
        <v>550</v>
      </c>
      <c r="F749" s="178">
        <v>6</v>
      </c>
      <c r="G749" s="180"/>
      <c r="H749" s="180"/>
    </row>
    <row r="750" spans="1:8" ht="20.399999999999999" x14ac:dyDescent="0.3">
      <c r="A750" s="177" t="s">
        <v>87</v>
      </c>
      <c r="B750" s="177" t="s">
        <v>656</v>
      </c>
      <c r="C750" s="178">
        <v>220</v>
      </c>
      <c r="D750" s="179">
        <v>46428</v>
      </c>
      <c r="E750" s="177" t="s">
        <v>550</v>
      </c>
      <c r="F750" s="178">
        <v>6</v>
      </c>
      <c r="G750" s="180"/>
      <c r="H750" s="178">
        <v>36</v>
      </c>
    </row>
    <row r="751" spans="1:8" ht="20.399999999999999" x14ac:dyDescent="0.3">
      <c r="A751" s="177" t="s">
        <v>172</v>
      </c>
      <c r="B751" s="177" t="s">
        <v>656</v>
      </c>
      <c r="C751" s="178">
        <v>124</v>
      </c>
      <c r="D751" s="179">
        <v>46428</v>
      </c>
      <c r="E751" s="177" t="s">
        <v>550</v>
      </c>
      <c r="F751" s="178">
        <v>12</v>
      </c>
      <c r="G751" s="180"/>
      <c r="H751" s="178">
        <v>37</v>
      </c>
    </row>
    <row r="752" spans="1:8" ht="20.399999999999999" x14ac:dyDescent="0.3">
      <c r="A752" s="177" t="s">
        <v>309</v>
      </c>
      <c r="B752" s="177" t="s">
        <v>652</v>
      </c>
      <c r="C752" s="178">
        <v>12</v>
      </c>
      <c r="D752" s="179">
        <v>46428</v>
      </c>
      <c r="E752" s="177" t="s">
        <v>550</v>
      </c>
      <c r="F752" s="178">
        <v>6</v>
      </c>
      <c r="G752" s="180"/>
      <c r="H752" s="180"/>
    </row>
    <row r="753" spans="1:8" ht="20.399999999999999" x14ac:dyDescent="0.3">
      <c r="A753" s="177" t="s">
        <v>310</v>
      </c>
      <c r="B753" s="177" t="s">
        <v>652</v>
      </c>
      <c r="C753" s="178">
        <v>16</v>
      </c>
      <c r="D753" s="179">
        <v>46428</v>
      </c>
      <c r="E753" s="177" t="s">
        <v>550</v>
      </c>
      <c r="F753" s="178">
        <v>6</v>
      </c>
      <c r="G753" s="180"/>
      <c r="H753" s="180"/>
    </row>
    <row r="754" spans="1:8" x14ac:dyDescent="0.3">
      <c r="A754" s="177" t="s">
        <v>794</v>
      </c>
      <c r="B754" s="177" t="s">
        <v>552</v>
      </c>
      <c r="C754" s="178">
        <v>80</v>
      </c>
      <c r="D754" s="179">
        <v>46429</v>
      </c>
      <c r="E754" s="177" t="s">
        <v>550</v>
      </c>
      <c r="F754" s="178">
        <v>5</v>
      </c>
      <c r="G754" s="180"/>
      <c r="H754" s="180"/>
    </row>
    <row r="755" spans="1:8" ht="20.399999999999999" x14ac:dyDescent="0.3">
      <c r="A755" s="177" t="s">
        <v>298</v>
      </c>
      <c r="B755" s="177" t="s">
        <v>582</v>
      </c>
      <c r="C755" s="178">
        <v>204</v>
      </c>
      <c r="D755" s="179">
        <v>46430</v>
      </c>
      <c r="E755" s="177" t="s">
        <v>550</v>
      </c>
      <c r="F755" s="178">
        <v>6</v>
      </c>
      <c r="G755" s="178">
        <v>25</v>
      </c>
      <c r="H755" s="180"/>
    </row>
    <row r="756" spans="1:8" ht="20.399999999999999" x14ac:dyDescent="0.3">
      <c r="A756" s="177" t="s">
        <v>270</v>
      </c>
      <c r="B756" s="177" t="s">
        <v>656</v>
      </c>
      <c r="C756" s="178">
        <v>76</v>
      </c>
      <c r="D756" s="179">
        <v>46430</v>
      </c>
      <c r="E756" s="177" t="s">
        <v>550</v>
      </c>
      <c r="F756" s="178">
        <v>12</v>
      </c>
      <c r="G756" s="180"/>
      <c r="H756" s="180"/>
    </row>
    <row r="757" spans="1:8" ht="20.399999999999999" x14ac:dyDescent="0.3">
      <c r="A757" s="177" t="s">
        <v>270</v>
      </c>
      <c r="B757" s="177" t="s">
        <v>656</v>
      </c>
      <c r="C757" s="178">
        <v>254</v>
      </c>
      <c r="D757" s="179">
        <v>46430</v>
      </c>
      <c r="E757" s="177" t="s">
        <v>550</v>
      </c>
      <c r="F757" s="178">
        <v>1</v>
      </c>
      <c r="G757" s="178">
        <v>50</v>
      </c>
      <c r="H757" s="180"/>
    </row>
    <row r="758" spans="1:8" ht="20.399999999999999" x14ac:dyDescent="0.3">
      <c r="A758" s="177" t="s">
        <v>140</v>
      </c>
      <c r="B758" s="177" t="s">
        <v>658</v>
      </c>
      <c r="C758" s="178">
        <v>446</v>
      </c>
      <c r="D758" s="179">
        <v>46430</v>
      </c>
      <c r="E758" s="177" t="s">
        <v>550</v>
      </c>
      <c r="F758" s="178">
        <v>4</v>
      </c>
      <c r="G758" s="180"/>
      <c r="H758" s="180"/>
    </row>
    <row r="759" spans="1:8" ht="20.399999999999999" x14ac:dyDescent="0.3">
      <c r="A759" s="177" t="s">
        <v>198</v>
      </c>
      <c r="B759" s="177" t="s">
        <v>658</v>
      </c>
      <c r="C759" s="178">
        <v>476</v>
      </c>
      <c r="D759" s="179">
        <v>46433</v>
      </c>
      <c r="E759" s="177" t="s">
        <v>550</v>
      </c>
      <c r="F759" s="178">
        <v>1</v>
      </c>
      <c r="G759" s="180"/>
      <c r="H759" s="180"/>
    </row>
    <row r="760" spans="1:8" ht="20.399999999999999" x14ac:dyDescent="0.3">
      <c r="A760" s="177" t="s">
        <v>318</v>
      </c>
      <c r="B760" s="177" t="s">
        <v>582</v>
      </c>
      <c r="C760" s="178">
        <v>474</v>
      </c>
      <c r="D760" s="179">
        <v>46434</v>
      </c>
      <c r="E760" s="177" t="s">
        <v>550</v>
      </c>
      <c r="F760" s="178">
        <v>24</v>
      </c>
      <c r="G760" s="178">
        <v>45</v>
      </c>
      <c r="H760" s="178">
        <v>27</v>
      </c>
    </row>
    <row r="761" spans="1:8" ht="20.399999999999999" x14ac:dyDescent="0.3">
      <c r="A761" s="177" t="s">
        <v>299</v>
      </c>
      <c r="B761" s="177" t="s">
        <v>582</v>
      </c>
      <c r="C761" s="178">
        <v>212</v>
      </c>
      <c r="D761" s="179">
        <v>46434</v>
      </c>
      <c r="E761" s="177" t="s">
        <v>550</v>
      </c>
      <c r="F761" s="178">
        <v>6</v>
      </c>
      <c r="G761" s="178">
        <v>25</v>
      </c>
      <c r="H761" s="180"/>
    </row>
    <row r="762" spans="1:8" ht="20.399999999999999" x14ac:dyDescent="0.3">
      <c r="A762" s="177" t="s">
        <v>192</v>
      </c>
      <c r="B762" s="177" t="s">
        <v>582</v>
      </c>
      <c r="C762" s="178">
        <v>252</v>
      </c>
      <c r="D762" s="179">
        <v>46434</v>
      </c>
      <c r="E762" s="177" t="s">
        <v>550</v>
      </c>
      <c r="F762" s="178">
        <v>6</v>
      </c>
      <c r="G762" s="180"/>
      <c r="H762" s="180"/>
    </row>
    <row r="763" spans="1:8" ht="20.399999999999999" x14ac:dyDescent="0.3">
      <c r="A763" s="177" t="s">
        <v>226</v>
      </c>
      <c r="B763" s="177" t="s">
        <v>658</v>
      </c>
      <c r="C763" s="178">
        <v>456</v>
      </c>
      <c r="D763" s="179">
        <v>46434</v>
      </c>
      <c r="E763" s="177" t="s">
        <v>550</v>
      </c>
      <c r="F763" s="178">
        <v>4</v>
      </c>
      <c r="G763" s="180"/>
      <c r="H763" s="180"/>
    </row>
    <row r="764" spans="1:8" ht="20.399999999999999" x14ac:dyDescent="0.3">
      <c r="A764" s="177" t="s">
        <v>301</v>
      </c>
      <c r="B764" s="177" t="s">
        <v>658</v>
      </c>
      <c r="C764" s="178">
        <v>308</v>
      </c>
      <c r="D764" s="179">
        <v>46434</v>
      </c>
      <c r="E764" s="177" t="s">
        <v>550</v>
      </c>
      <c r="F764" s="178">
        <v>4</v>
      </c>
      <c r="G764" s="180"/>
      <c r="H764" s="180"/>
    </row>
    <row r="765" spans="1:8" ht="20.399999999999999" x14ac:dyDescent="0.3">
      <c r="A765" s="177" t="s">
        <v>280</v>
      </c>
      <c r="B765" s="177" t="s">
        <v>658</v>
      </c>
      <c r="C765" s="178">
        <v>310</v>
      </c>
      <c r="D765" s="179">
        <v>46434</v>
      </c>
      <c r="E765" s="177" t="s">
        <v>550</v>
      </c>
      <c r="F765" s="178">
        <v>32</v>
      </c>
      <c r="G765" s="180"/>
      <c r="H765" s="178">
        <v>114</v>
      </c>
    </row>
    <row r="766" spans="1:8" ht="20.399999999999999" x14ac:dyDescent="0.3">
      <c r="A766" s="177" t="s">
        <v>284</v>
      </c>
      <c r="B766" s="177" t="s">
        <v>658</v>
      </c>
      <c r="C766" s="178">
        <v>314</v>
      </c>
      <c r="D766" s="179">
        <v>46434</v>
      </c>
      <c r="E766" s="177" t="s">
        <v>550</v>
      </c>
      <c r="F766" s="178">
        <v>4</v>
      </c>
      <c r="G766" s="180"/>
      <c r="H766" s="180"/>
    </row>
    <row r="767" spans="1:8" ht="20.399999999999999" x14ac:dyDescent="0.3">
      <c r="A767" s="177" t="s">
        <v>285</v>
      </c>
      <c r="B767" s="177" t="s">
        <v>658</v>
      </c>
      <c r="C767" s="178">
        <v>318</v>
      </c>
      <c r="D767" s="179">
        <v>46434</v>
      </c>
      <c r="E767" s="177" t="s">
        <v>550</v>
      </c>
      <c r="F767" s="178">
        <v>4</v>
      </c>
      <c r="G767" s="180"/>
      <c r="H767" s="180"/>
    </row>
    <row r="768" spans="1:8" ht="20.399999999999999" x14ac:dyDescent="0.3">
      <c r="A768" s="177" t="s">
        <v>140</v>
      </c>
      <c r="B768" s="177" t="s">
        <v>658</v>
      </c>
      <c r="C768" s="178">
        <v>326</v>
      </c>
      <c r="D768" s="179">
        <v>46434</v>
      </c>
      <c r="E768" s="177" t="s">
        <v>550</v>
      </c>
      <c r="F768" s="178">
        <v>4</v>
      </c>
      <c r="G768" s="180"/>
      <c r="H768" s="180"/>
    </row>
    <row r="769" spans="1:8" ht="20.399999999999999" x14ac:dyDescent="0.3">
      <c r="A769" s="177" t="s">
        <v>226</v>
      </c>
      <c r="B769" s="177" t="s">
        <v>658</v>
      </c>
      <c r="C769" s="178">
        <v>330</v>
      </c>
      <c r="D769" s="179">
        <v>46434</v>
      </c>
      <c r="E769" s="177" t="s">
        <v>550</v>
      </c>
      <c r="F769" s="178">
        <v>4</v>
      </c>
      <c r="G769" s="180"/>
      <c r="H769" s="180"/>
    </row>
    <row r="770" spans="1:8" ht="20.399999999999999" x14ac:dyDescent="0.3">
      <c r="A770" s="177" t="s">
        <v>202</v>
      </c>
      <c r="B770" s="177" t="s">
        <v>658</v>
      </c>
      <c r="C770" s="178">
        <v>338</v>
      </c>
      <c r="D770" s="179">
        <v>46434</v>
      </c>
      <c r="E770" s="177" t="s">
        <v>550</v>
      </c>
      <c r="F770" s="178">
        <v>4</v>
      </c>
      <c r="G770" s="180"/>
      <c r="H770" s="180"/>
    </row>
    <row r="771" spans="1:8" ht="20.399999999999999" x14ac:dyDescent="0.3">
      <c r="A771" s="177" t="s">
        <v>286</v>
      </c>
      <c r="B771" s="177" t="s">
        <v>658</v>
      </c>
      <c r="C771" s="178">
        <v>344</v>
      </c>
      <c r="D771" s="179">
        <v>46434</v>
      </c>
      <c r="E771" s="177" t="s">
        <v>550</v>
      </c>
      <c r="F771" s="178">
        <v>4</v>
      </c>
      <c r="G771" s="180"/>
      <c r="H771" s="180"/>
    </row>
    <row r="772" spans="1:8" ht="20.399999999999999" x14ac:dyDescent="0.3">
      <c r="A772" s="177" t="s">
        <v>196</v>
      </c>
      <c r="B772" s="177" t="s">
        <v>658</v>
      </c>
      <c r="C772" s="178">
        <v>362</v>
      </c>
      <c r="D772" s="179">
        <v>46434</v>
      </c>
      <c r="E772" s="177" t="s">
        <v>550</v>
      </c>
      <c r="F772" s="178">
        <v>8</v>
      </c>
      <c r="G772" s="180"/>
      <c r="H772" s="180"/>
    </row>
    <row r="773" spans="1:8" ht="20.399999999999999" x14ac:dyDescent="0.3">
      <c r="A773" s="177" t="s">
        <v>306</v>
      </c>
      <c r="B773" s="177" t="s">
        <v>658</v>
      </c>
      <c r="C773" s="178">
        <v>206</v>
      </c>
      <c r="D773" s="179">
        <v>46434</v>
      </c>
      <c r="E773" s="177" t="s">
        <v>550</v>
      </c>
      <c r="F773" s="178">
        <v>16</v>
      </c>
      <c r="G773" s="180"/>
      <c r="H773" s="180"/>
    </row>
    <row r="774" spans="1:8" ht="20.399999999999999" x14ac:dyDescent="0.3">
      <c r="A774" s="177" t="s">
        <v>228</v>
      </c>
      <c r="B774" s="177" t="s">
        <v>658</v>
      </c>
      <c r="C774" s="178">
        <v>162</v>
      </c>
      <c r="D774" s="179">
        <v>46434</v>
      </c>
      <c r="E774" s="177" t="s">
        <v>550</v>
      </c>
      <c r="F774" s="178">
        <v>12</v>
      </c>
      <c r="G774" s="178">
        <v>50</v>
      </c>
      <c r="H774" s="180"/>
    </row>
    <row r="775" spans="1:8" ht="20.399999999999999" x14ac:dyDescent="0.3">
      <c r="A775" s="177" t="s">
        <v>325</v>
      </c>
      <c r="B775" s="177" t="s">
        <v>740</v>
      </c>
      <c r="C775" s="178">
        <v>28</v>
      </c>
      <c r="D775" s="179">
        <v>46434</v>
      </c>
      <c r="E775" s="177" t="s">
        <v>550</v>
      </c>
      <c r="F775" s="178">
        <v>11</v>
      </c>
      <c r="G775" s="180"/>
      <c r="H775" s="178">
        <v>0</v>
      </c>
    </row>
    <row r="776" spans="1:8" ht="20.399999999999999" x14ac:dyDescent="0.3">
      <c r="A776" s="177" t="s">
        <v>161</v>
      </c>
      <c r="B776" s="177" t="s">
        <v>658</v>
      </c>
      <c r="C776" s="178">
        <v>10</v>
      </c>
      <c r="D776" s="179">
        <v>46434</v>
      </c>
      <c r="E776" s="177" t="s">
        <v>550</v>
      </c>
      <c r="F776" s="178">
        <v>32</v>
      </c>
      <c r="G776" s="180"/>
      <c r="H776" s="180"/>
    </row>
    <row r="777" spans="1:8" ht="20.399999999999999" x14ac:dyDescent="0.3">
      <c r="A777" s="177" t="s">
        <v>300</v>
      </c>
      <c r="B777" s="177" t="s">
        <v>634</v>
      </c>
      <c r="C777" s="178">
        <v>4</v>
      </c>
      <c r="D777" s="179">
        <v>46434</v>
      </c>
      <c r="E777" s="177" t="s">
        <v>550</v>
      </c>
      <c r="F777" s="178">
        <v>8</v>
      </c>
      <c r="G777" s="180"/>
      <c r="H777" s="180"/>
    </row>
    <row r="778" spans="1:8" ht="20.399999999999999" x14ac:dyDescent="0.3">
      <c r="A778" s="177" t="s">
        <v>342</v>
      </c>
      <c r="B778" s="177" t="s">
        <v>656</v>
      </c>
      <c r="C778" s="178">
        <v>146</v>
      </c>
      <c r="D778" s="179">
        <v>46434</v>
      </c>
      <c r="E778" s="177" t="s">
        <v>550</v>
      </c>
      <c r="F778" s="178">
        <v>1</v>
      </c>
      <c r="G778" s="180"/>
      <c r="H778" s="180"/>
    </row>
    <row r="779" spans="1:8" ht="20.399999999999999" x14ac:dyDescent="0.3">
      <c r="A779" s="177" t="s">
        <v>156</v>
      </c>
      <c r="B779" s="177" t="s">
        <v>701</v>
      </c>
      <c r="C779" s="178">
        <v>12</v>
      </c>
      <c r="D779" s="179">
        <v>46434</v>
      </c>
      <c r="E779" s="177" t="s">
        <v>550</v>
      </c>
      <c r="F779" s="178">
        <v>4</v>
      </c>
      <c r="G779" s="180"/>
      <c r="H779" s="180"/>
    </row>
    <row r="780" spans="1:8" ht="20.399999999999999" x14ac:dyDescent="0.3">
      <c r="A780" s="177" t="s">
        <v>221</v>
      </c>
      <c r="B780" s="177" t="s">
        <v>669</v>
      </c>
      <c r="C780" s="178">
        <v>42</v>
      </c>
      <c r="D780" s="179">
        <v>46434</v>
      </c>
      <c r="E780" s="177" t="s">
        <v>550</v>
      </c>
      <c r="F780" s="178">
        <v>4</v>
      </c>
      <c r="G780" s="180"/>
      <c r="H780" s="180"/>
    </row>
    <row r="781" spans="1:8" ht="20.399999999999999" x14ac:dyDescent="0.3">
      <c r="A781" s="177" t="s">
        <v>323</v>
      </c>
      <c r="B781" s="177" t="s">
        <v>669</v>
      </c>
      <c r="C781" s="178">
        <v>36</v>
      </c>
      <c r="D781" s="179">
        <v>46434</v>
      </c>
      <c r="E781" s="177" t="s">
        <v>550</v>
      </c>
      <c r="F781" s="178">
        <v>4</v>
      </c>
      <c r="G781" s="180"/>
      <c r="H781" s="178">
        <v>4</v>
      </c>
    </row>
    <row r="782" spans="1:8" ht="20.399999999999999" x14ac:dyDescent="0.3">
      <c r="A782" s="177" t="s">
        <v>680</v>
      </c>
      <c r="B782" s="177" t="s">
        <v>695</v>
      </c>
      <c r="C782" s="178">
        <v>58</v>
      </c>
      <c r="D782" s="179">
        <v>46435</v>
      </c>
      <c r="E782" s="177" t="s">
        <v>550</v>
      </c>
      <c r="F782" s="178">
        <v>48</v>
      </c>
      <c r="G782" s="180"/>
      <c r="H782" s="180"/>
    </row>
    <row r="783" spans="1:8" ht="20.399999999999999" x14ac:dyDescent="0.3">
      <c r="A783" s="177" t="s">
        <v>281</v>
      </c>
      <c r="B783" s="177" t="s">
        <v>669</v>
      </c>
      <c r="C783" s="178">
        <v>12</v>
      </c>
      <c r="D783" s="179">
        <v>46436</v>
      </c>
      <c r="E783" s="177" t="s">
        <v>550</v>
      </c>
      <c r="F783" s="178">
        <v>8</v>
      </c>
      <c r="G783" s="180"/>
      <c r="H783" s="180"/>
    </row>
    <row r="784" spans="1:8" ht="20.399999999999999" x14ac:dyDescent="0.3">
      <c r="A784" s="177" t="s">
        <v>193</v>
      </c>
      <c r="B784" s="177" t="s">
        <v>669</v>
      </c>
      <c r="C784" s="178">
        <v>124</v>
      </c>
      <c r="D784" s="179">
        <v>46436</v>
      </c>
      <c r="E784" s="177" t="s">
        <v>550</v>
      </c>
      <c r="F784" s="178">
        <v>8</v>
      </c>
      <c r="G784" s="180"/>
      <c r="H784" s="180"/>
    </row>
    <row r="785" spans="1:8" ht="20.399999999999999" x14ac:dyDescent="0.3">
      <c r="A785" s="177" t="s">
        <v>141</v>
      </c>
      <c r="B785" s="177" t="s">
        <v>669</v>
      </c>
      <c r="C785" s="178">
        <v>110</v>
      </c>
      <c r="D785" s="179">
        <v>46436</v>
      </c>
      <c r="E785" s="177" t="s">
        <v>550</v>
      </c>
      <c r="F785" s="178">
        <v>8</v>
      </c>
      <c r="G785" s="180"/>
      <c r="H785" s="180"/>
    </row>
    <row r="786" spans="1:8" ht="20.399999999999999" x14ac:dyDescent="0.3">
      <c r="A786" s="177" t="s">
        <v>271</v>
      </c>
      <c r="B786" s="177" t="s">
        <v>656</v>
      </c>
      <c r="C786" s="178">
        <v>80</v>
      </c>
      <c r="D786" s="179">
        <v>46436</v>
      </c>
      <c r="E786" s="177" t="s">
        <v>550</v>
      </c>
      <c r="F786" s="178">
        <v>12</v>
      </c>
      <c r="G786" s="180"/>
      <c r="H786" s="180"/>
    </row>
    <row r="787" spans="1:8" ht="20.399999999999999" x14ac:dyDescent="0.3">
      <c r="A787" s="177" t="s">
        <v>271</v>
      </c>
      <c r="B787" s="177" t="s">
        <v>795</v>
      </c>
      <c r="C787" s="178">
        <v>2</v>
      </c>
      <c r="D787" s="179">
        <v>46436</v>
      </c>
      <c r="E787" s="177" t="s">
        <v>550</v>
      </c>
      <c r="F787" s="178">
        <v>2</v>
      </c>
      <c r="G787" s="178">
        <v>50</v>
      </c>
      <c r="H787" s="180"/>
    </row>
    <row r="788" spans="1:8" ht="20.399999999999999" x14ac:dyDescent="0.3">
      <c r="A788" s="177" t="s">
        <v>354</v>
      </c>
      <c r="B788" s="177" t="s">
        <v>686</v>
      </c>
      <c r="C788" s="178">
        <v>102</v>
      </c>
      <c r="D788" s="179">
        <v>46436</v>
      </c>
      <c r="E788" s="177" t="s">
        <v>550</v>
      </c>
      <c r="F788" s="178">
        <v>3</v>
      </c>
      <c r="G788" s="178">
        <v>15</v>
      </c>
      <c r="H788" s="180"/>
    </row>
    <row r="789" spans="1:8" ht="20.399999999999999" x14ac:dyDescent="0.3">
      <c r="A789" s="177" t="s">
        <v>336</v>
      </c>
      <c r="B789" s="177" t="s">
        <v>686</v>
      </c>
      <c r="C789" s="178">
        <v>122</v>
      </c>
      <c r="D789" s="179">
        <v>46440</v>
      </c>
      <c r="E789" s="177" t="s">
        <v>550</v>
      </c>
      <c r="F789" s="178">
        <v>12</v>
      </c>
      <c r="G789" s="180"/>
      <c r="H789" s="180"/>
    </row>
    <row r="790" spans="1:8" ht="20.399999999999999" x14ac:dyDescent="0.3">
      <c r="A790" s="177" t="s">
        <v>738</v>
      </c>
      <c r="B790" s="177" t="s">
        <v>686</v>
      </c>
      <c r="C790" s="178">
        <v>136</v>
      </c>
      <c r="D790" s="179">
        <v>46440</v>
      </c>
      <c r="E790" s="177" t="s">
        <v>550</v>
      </c>
      <c r="F790" s="178">
        <v>12</v>
      </c>
      <c r="G790" s="180"/>
      <c r="H790" s="180"/>
    </row>
    <row r="791" spans="1:8" ht="20.399999999999999" x14ac:dyDescent="0.3">
      <c r="A791" s="177" t="s">
        <v>473</v>
      </c>
      <c r="B791" s="177" t="s">
        <v>582</v>
      </c>
      <c r="C791" s="178">
        <v>140</v>
      </c>
      <c r="D791" s="179">
        <v>46440</v>
      </c>
      <c r="E791" s="177" t="s">
        <v>550</v>
      </c>
      <c r="F791" s="178">
        <v>4</v>
      </c>
      <c r="G791" s="180"/>
      <c r="H791" s="180"/>
    </row>
    <row r="792" spans="1:8" ht="20.399999999999999" x14ac:dyDescent="0.3">
      <c r="A792" s="177" t="s">
        <v>473</v>
      </c>
      <c r="B792" s="177" t="s">
        <v>582</v>
      </c>
      <c r="C792" s="178">
        <v>142</v>
      </c>
      <c r="D792" s="179">
        <v>46440</v>
      </c>
      <c r="E792" s="177" t="s">
        <v>550</v>
      </c>
      <c r="F792" s="178">
        <v>4</v>
      </c>
      <c r="G792" s="180"/>
      <c r="H792" s="180"/>
    </row>
    <row r="793" spans="1:8" ht="20.399999999999999" x14ac:dyDescent="0.3">
      <c r="A793" s="177" t="s">
        <v>473</v>
      </c>
      <c r="B793" s="177" t="s">
        <v>582</v>
      </c>
      <c r="C793" s="178">
        <v>294</v>
      </c>
      <c r="D793" s="179">
        <v>46440</v>
      </c>
      <c r="E793" s="177" t="s">
        <v>550</v>
      </c>
      <c r="F793" s="178">
        <v>2</v>
      </c>
      <c r="G793" s="180"/>
      <c r="H793" s="180"/>
    </row>
    <row r="794" spans="1:8" ht="20.399999999999999" x14ac:dyDescent="0.3">
      <c r="A794" s="177" t="s">
        <v>199</v>
      </c>
      <c r="B794" s="177" t="s">
        <v>658</v>
      </c>
      <c r="C794" s="178">
        <v>194</v>
      </c>
      <c r="D794" s="179">
        <v>46440</v>
      </c>
      <c r="E794" s="177" t="s">
        <v>550</v>
      </c>
      <c r="F794" s="178">
        <v>24</v>
      </c>
      <c r="G794" s="180"/>
      <c r="H794" s="180"/>
    </row>
    <row r="795" spans="1:8" ht="20.399999999999999" x14ac:dyDescent="0.3">
      <c r="A795" s="177" t="s">
        <v>199</v>
      </c>
      <c r="B795" s="177" t="s">
        <v>658</v>
      </c>
      <c r="C795" s="178">
        <v>226</v>
      </c>
      <c r="D795" s="179">
        <v>46440</v>
      </c>
      <c r="E795" s="177" t="s">
        <v>550</v>
      </c>
      <c r="F795" s="178">
        <v>6</v>
      </c>
      <c r="G795" s="178">
        <v>55</v>
      </c>
      <c r="H795" s="180"/>
    </row>
    <row r="796" spans="1:8" ht="20.399999999999999" x14ac:dyDescent="0.3">
      <c r="A796" s="177" t="s">
        <v>290</v>
      </c>
      <c r="B796" s="177" t="s">
        <v>656</v>
      </c>
      <c r="C796" s="178">
        <v>236</v>
      </c>
      <c r="D796" s="179">
        <v>46441</v>
      </c>
      <c r="E796" s="177" t="s">
        <v>550</v>
      </c>
      <c r="F796" s="178">
        <v>24</v>
      </c>
      <c r="G796" s="180"/>
      <c r="H796" s="180"/>
    </row>
    <row r="797" spans="1:8" ht="20.399999999999999" x14ac:dyDescent="0.3">
      <c r="A797" s="177" t="s">
        <v>796</v>
      </c>
      <c r="B797" s="177" t="s">
        <v>549</v>
      </c>
      <c r="C797" s="178">
        <v>14</v>
      </c>
      <c r="D797" s="179">
        <v>46441</v>
      </c>
      <c r="E797" s="177" t="s">
        <v>550</v>
      </c>
      <c r="F797" s="178">
        <v>1</v>
      </c>
      <c r="G797" s="180"/>
      <c r="H797" s="180"/>
    </row>
    <row r="798" spans="1:8" ht="20.399999999999999" x14ac:dyDescent="0.3">
      <c r="A798" s="177" t="s">
        <v>473</v>
      </c>
      <c r="B798" s="177" t="s">
        <v>582</v>
      </c>
      <c r="C798" s="178">
        <v>144</v>
      </c>
      <c r="D798" s="179">
        <v>46442</v>
      </c>
      <c r="E798" s="177" t="s">
        <v>550</v>
      </c>
      <c r="F798" s="178">
        <v>4</v>
      </c>
      <c r="G798" s="180"/>
      <c r="H798" s="180"/>
    </row>
    <row r="799" spans="1:8" ht="20.399999999999999" x14ac:dyDescent="0.3">
      <c r="A799" s="177" t="s">
        <v>476</v>
      </c>
      <c r="B799" s="177" t="s">
        <v>582</v>
      </c>
      <c r="C799" s="178">
        <v>120</v>
      </c>
      <c r="D799" s="179">
        <v>46443</v>
      </c>
      <c r="E799" s="177" t="s">
        <v>550</v>
      </c>
      <c r="F799" s="178">
        <v>4</v>
      </c>
      <c r="G799" s="180"/>
      <c r="H799" s="180"/>
    </row>
    <row r="800" spans="1:8" ht="20.399999999999999" x14ac:dyDescent="0.3">
      <c r="A800" s="177" t="s">
        <v>476</v>
      </c>
      <c r="B800" s="177" t="s">
        <v>582</v>
      </c>
      <c r="C800" s="178">
        <v>122</v>
      </c>
      <c r="D800" s="179">
        <v>46443</v>
      </c>
      <c r="E800" s="177" t="s">
        <v>550</v>
      </c>
      <c r="F800" s="178">
        <v>4</v>
      </c>
      <c r="G800" s="180"/>
      <c r="H800" s="180"/>
    </row>
    <row r="801" spans="1:8" x14ac:dyDescent="0.3">
      <c r="A801" s="177" t="s">
        <v>797</v>
      </c>
      <c r="B801" s="177" t="s">
        <v>552</v>
      </c>
      <c r="C801" s="178">
        <v>330</v>
      </c>
      <c r="D801" s="179">
        <v>46443</v>
      </c>
      <c r="E801" s="177" t="s">
        <v>550</v>
      </c>
      <c r="F801" s="178">
        <v>4</v>
      </c>
      <c r="G801" s="180"/>
      <c r="H801" s="180"/>
    </row>
    <row r="802" spans="1:8" ht="20.399999999999999" x14ac:dyDescent="0.3">
      <c r="A802" s="177" t="s">
        <v>201</v>
      </c>
      <c r="B802" s="177" t="s">
        <v>656</v>
      </c>
      <c r="C802" s="178">
        <v>64</v>
      </c>
      <c r="D802" s="179">
        <v>46444</v>
      </c>
      <c r="E802" s="177" t="s">
        <v>550</v>
      </c>
      <c r="F802" s="178">
        <v>6</v>
      </c>
      <c r="G802" s="178">
        <v>25</v>
      </c>
      <c r="H802" s="180"/>
    </row>
    <row r="803" spans="1:8" ht="20.399999999999999" x14ac:dyDescent="0.3">
      <c r="A803" s="177" t="s">
        <v>283</v>
      </c>
      <c r="B803" s="177" t="s">
        <v>656</v>
      </c>
      <c r="C803" s="178">
        <v>68</v>
      </c>
      <c r="D803" s="179">
        <v>46446</v>
      </c>
      <c r="E803" s="177" t="s">
        <v>550</v>
      </c>
      <c r="F803" s="178">
        <v>6</v>
      </c>
      <c r="G803" s="178">
        <v>25</v>
      </c>
      <c r="H803" s="180"/>
    </row>
    <row r="804" spans="1:8" ht="20.399999999999999" x14ac:dyDescent="0.3">
      <c r="A804" s="177" t="s">
        <v>328</v>
      </c>
      <c r="B804" s="177" t="s">
        <v>688</v>
      </c>
      <c r="C804" s="178">
        <v>34</v>
      </c>
      <c r="D804" s="179">
        <v>46446</v>
      </c>
      <c r="E804" s="177" t="s">
        <v>550</v>
      </c>
      <c r="F804" s="178">
        <v>21</v>
      </c>
      <c r="G804" s="180"/>
      <c r="H804" s="180"/>
    </row>
    <row r="805" spans="1:8" ht="20.399999999999999" x14ac:dyDescent="0.3">
      <c r="A805" s="177" t="s">
        <v>339</v>
      </c>
      <c r="B805" s="177" t="s">
        <v>688</v>
      </c>
      <c r="C805" s="178">
        <v>14</v>
      </c>
      <c r="D805" s="179">
        <v>46446</v>
      </c>
      <c r="E805" s="177" t="s">
        <v>550</v>
      </c>
      <c r="F805" s="178">
        <v>3</v>
      </c>
      <c r="G805" s="180"/>
      <c r="H805" s="180"/>
    </row>
    <row r="806" spans="1:8" ht="20.399999999999999" x14ac:dyDescent="0.3">
      <c r="A806" s="177" t="s">
        <v>79</v>
      </c>
      <c r="B806" s="177" t="s">
        <v>662</v>
      </c>
      <c r="C806" s="178">
        <v>112</v>
      </c>
      <c r="D806" s="179">
        <v>46446</v>
      </c>
      <c r="E806" s="177" t="s">
        <v>550</v>
      </c>
      <c r="F806" s="178">
        <v>24</v>
      </c>
      <c r="G806" s="180"/>
      <c r="H806" s="180"/>
    </row>
    <row r="807" spans="1:8" ht="20.399999999999999" x14ac:dyDescent="0.3">
      <c r="A807" s="177" t="s">
        <v>38</v>
      </c>
      <c r="B807" s="177" t="s">
        <v>662</v>
      </c>
      <c r="C807" s="178">
        <v>116</v>
      </c>
      <c r="D807" s="179">
        <v>46446</v>
      </c>
      <c r="E807" s="177" t="s">
        <v>550</v>
      </c>
      <c r="F807" s="178">
        <v>24</v>
      </c>
      <c r="G807" s="180"/>
      <c r="H807" s="180"/>
    </row>
    <row r="808" spans="1:8" ht="20.399999999999999" x14ac:dyDescent="0.3">
      <c r="A808" s="177" t="s">
        <v>249</v>
      </c>
      <c r="B808" s="177" t="s">
        <v>662</v>
      </c>
      <c r="C808" s="178">
        <v>136</v>
      </c>
      <c r="D808" s="179">
        <v>46446</v>
      </c>
      <c r="E808" s="177" t="s">
        <v>550</v>
      </c>
      <c r="F808" s="178">
        <v>12</v>
      </c>
      <c r="G808" s="180"/>
      <c r="H808" s="180"/>
    </row>
    <row r="809" spans="1:8" ht="20.399999999999999" x14ac:dyDescent="0.3">
      <c r="A809" s="177" t="s">
        <v>54</v>
      </c>
      <c r="B809" s="177" t="s">
        <v>662</v>
      </c>
      <c r="C809" s="178">
        <v>140</v>
      </c>
      <c r="D809" s="179">
        <v>46446</v>
      </c>
      <c r="E809" s="177" t="s">
        <v>550</v>
      </c>
      <c r="F809" s="178">
        <v>12</v>
      </c>
      <c r="G809" s="180"/>
      <c r="H809" s="180"/>
    </row>
    <row r="810" spans="1:8" ht="20.399999999999999" x14ac:dyDescent="0.3">
      <c r="A810" s="177" t="s">
        <v>28</v>
      </c>
      <c r="B810" s="177" t="s">
        <v>662</v>
      </c>
      <c r="C810" s="178">
        <v>186</v>
      </c>
      <c r="D810" s="179">
        <v>46446</v>
      </c>
      <c r="E810" s="177" t="s">
        <v>550</v>
      </c>
      <c r="F810" s="178">
        <v>24</v>
      </c>
      <c r="G810" s="180"/>
      <c r="H810" s="180"/>
    </row>
    <row r="811" spans="1:8" ht="20.399999999999999" x14ac:dyDescent="0.3">
      <c r="A811" s="177" t="s">
        <v>226</v>
      </c>
      <c r="B811" s="177" t="s">
        <v>658</v>
      </c>
      <c r="C811" s="178">
        <v>448</v>
      </c>
      <c r="D811" s="179">
        <v>46446</v>
      </c>
      <c r="E811" s="177" t="s">
        <v>550</v>
      </c>
      <c r="F811" s="178">
        <v>4</v>
      </c>
      <c r="G811" s="180"/>
      <c r="H811" s="180"/>
    </row>
    <row r="812" spans="1:8" ht="20.399999999999999" x14ac:dyDescent="0.3">
      <c r="A812" s="177" t="s">
        <v>226</v>
      </c>
      <c r="B812" s="177" t="s">
        <v>658</v>
      </c>
      <c r="C812" s="178">
        <v>450</v>
      </c>
      <c r="D812" s="179">
        <v>46446</v>
      </c>
      <c r="E812" s="177" t="s">
        <v>550</v>
      </c>
      <c r="F812" s="178">
        <v>4</v>
      </c>
      <c r="G812" s="178">
        <v>33</v>
      </c>
      <c r="H812" s="180"/>
    </row>
    <row r="813" spans="1:8" ht="20.399999999999999" x14ac:dyDescent="0.3">
      <c r="A813" s="177" t="s">
        <v>140</v>
      </c>
      <c r="B813" s="177" t="s">
        <v>658</v>
      </c>
      <c r="C813" s="178">
        <v>438</v>
      </c>
      <c r="D813" s="179">
        <v>46446</v>
      </c>
      <c r="E813" s="177" t="s">
        <v>550</v>
      </c>
      <c r="F813" s="178">
        <v>4</v>
      </c>
      <c r="G813" s="180"/>
      <c r="H813" s="180"/>
    </row>
    <row r="814" spans="1:8" ht="20.399999999999999" x14ac:dyDescent="0.3">
      <c r="A814" s="177" t="s">
        <v>798</v>
      </c>
      <c r="B814" s="177" t="s">
        <v>609</v>
      </c>
      <c r="C814" s="178">
        <v>24</v>
      </c>
      <c r="D814" s="179">
        <v>46446</v>
      </c>
      <c r="E814" s="177" t="s">
        <v>550</v>
      </c>
      <c r="F814" s="178">
        <v>4</v>
      </c>
      <c r="G814" s="178">
        <v>80</v>
      </c>
      <c r="H814" s="180"/>
    </row>
    <row r="815" spans="1:8" ht="20.399999999999999" x14ac:dyDescent="0.3">
      <c r="A815" s="177" t="s">
        <v>472</v>
      </c>
      <c r="B815" s="177" t="s">
        <v>582</v>
      </c>
      <c r="C815" s="178">
        <v>104</v>
      </c>
      <c r="D815" s="179">
        <v>46446</v>
      </c>
      <c r="E815" s="177" t="s">
        <v>550</v>
      </c>
      <c r="F815" s="178">
        <v>4</v>
      </c>
      <c r="G815" s="180"/>
      <c r="H815" s="180"/>
    </row>
    <row r="816" spans="1:8" ht="20.399999999999999" x14ac:dyDescent="0.3">
      <c r="A816" s="177" t="s">
        <v>472</v>
      </c>
      <c r="B816" s="177" t="s">
        <v>582</v>
      </c>
      <c r="C816" s="178">
        <v>108</v>
      </c>
      <c r="D816" s="179">
        <v>46446</v>
      </c>
      <c r="E816" s="177" t="s">
        <v>550</v>
      </c>
      <c r="F816" s="178">
        <v>4</v>
      </c>
      <c r="G816" s="180"/>
      <c r="H816" s="180"/>
    </row>
    <row r="817" spans="1:8" ht="20.399999999999999" x14ac:dyDescent="0.3">
      <c r="A817" s="177" t="s">
        <v>472</v>
      </c>
      <c r="B817" s="177" t="s">
        <v>582</v>
      </c>
      <c r="C817" s="178">
        <v>296</v>
      </c>
      <c r="D817" s="179">
        <v>46446</v>
      </c>
      <c r="E817" s="177" t="s">
        <v>550</v>
      </c>
      <c r="F817" s="178">
        <v>1</v>
      </c>
      <c r="G817" s="180"/>
      <c r="H817" s="180"/>
    </row>
    <row r="818" spans="1:8" ht="20.399999999999999" x14ac:dyDescent="0.3">
      <c r="A818" s="177" t="s">
        <v>269</v>
      </c>
      <c r="B818" s="177" t="s">
        <v>740</v>
      </c>
      <c r="C818" s="178">
        <v>16</v>
      </c>
      <c r="D818" s="179">
        <v>46447</v>
      </c>
      <c r="E818" s="177" t="s">
        <v>550</v>
      </c>
      <c r="F818" s="178">
        <v>12</v>
      </c>
      <c r="G818" s="180"/>
      <c r="H818" s="178">
        <v>0</v>
      </c>
    </row>
    <row r="819" spans="1:8" ht="20.399999999999999" x14ac:dyDescent="0.3">
      <c r="A819" s="177" t="s">
        <v>198</v>
      </c>
      <c r="B819" s="177" t="s">
        <v>658</v>
      </c>
      <c r="C819" s="178">
        <v>368</v>
      </c>
      <c r="D819" s="179">
        <v>46447</v>
      </c>
      <c r="E819" s="177" t="s">
        <v>550</v>
      </c>
      <c r="F819" s="178">
        <v>24</v>
      </c>
      <c r="G819" s="180"/>
      <c r="H819" s="180"/>
    </row>
    <row r="820" spans="1:8" ht="20.399999999999999" x14ac:dyDescent="0.3">
      <c r="A820" s="177" t="s">
        <v>231</v>
      </c>
      <c r="B820" s="177" t="s">
        <v>658</v>
      </c>
      <c r="C820" s="178">
        <v>370</v>
      </c>
      <c r="D820" s="179">
        <v>46447</v>
      </c>
      <c r="E820" s="177" t="s">
        <v>550</v>
      </c>
      <c r="F820" s="178">
        <v>12</v>
      </c>
      <c r="G820" s="180"/>
      <c r="H820" s="180"/>
    </row>
    <row r="821" spans="1:8" ht="20.399999999999999" x14ac:dyDescent="0.3">
      <c r="A821" s="177" t="s">
        <v>38</v>
      </c>
      <c r="B821" s="177" t="s">
        <v>662</v>
      </c>
      <c r="C821" s="178">
        <v>118</v>
      </c>
      <c r="D821" s="179">
        <v>46447</v>
      </c>
      <c r="E821" s="177" t="s">
        <v>550</v>
      </c>
      <c r="F821" s="178">
        <v>24</v>
      </c>
      <c r="G821" s="180"/>
      <c r="H821" s="180"/>
    </row>
    <row r="822" spans="1:8" ht="20.399999999999999" x14ac:dyDescent="0.3">
      <c r="A822" s="177" t="s">
        <v>79</v>
      </c>
      <c r="B822" s="177" t="s">
        <v>662</v>
      </c>
      <c r="C822" s="178">
        <v>114</v>
      </c>
      <c r="D822" s="179">
        <v>46447</v>
      </c>
      <c r="E822" s="177" t="s">
        <v>550</v>
      </c>
      <c r="F822" s="178">
        <v>24</v>
      </c>
      <c r="G822" s="180"/>
      <c r="H822" s="180"/>
    </row>
    <row r="823" spans="1:8" ht="20.399999999999999" x14ac:dyDescent="0.3">
      <c r="A823" s="177" t="s">
        <v>287</v>
      </c>
      <c r="B823" s="177" t="s">
        <v>669</v>
      </c>
      <c r="C823" s="178">
        <v>22</v>
      </c>
      <c r="D823" s="179">
        <v>46448</v>
      </c>
      <c r="E823" s="177" t="s">
        <v>550</v>
      </c>
      <c r="F823" s="178">
        <v>4</v>
      </c>
      <c r="G823" s="180"/>
      <c r="H823" s="180"/>
    </row>
    <row r="824" spans="1:8" ht="20.399999999999999" x14ac:dyDescent="0.3">
      <c r="A824" s="177" t="s">
        <v>343</v>
      </c>
      <c r="B824" s="177" t="s">
        <v>662</v>
      </c>
      <c r="C824" s="178">
        <v>30</v>
      </c>
      <c r="D824" s="179">
        <v>46448</v>
      </c>
      <c r="E824" s="177" t="s">
        <v>550</v>
      </c>
      <c r="F824" s="178">
        <v>4</v>
      </c>
      <c r="G824" s="180"/>
      <c r="H824" s="180"/>
    </row>
    <row r="825" spans="1:8" ht="20.399999999999999" x14ac:dyDescent="0.3">
      <c r="A825" s="177" t="s">
        <v>37</v>
      </c>
      <c r="B825" s="177" t="s">
        <v>634</v>
      </c>
      <c r="C825" s="178">
        <v>42</v>
      </c>
      <c r="D825" s="179">
        <v>46448</v>
      </c>
      <c r="E825" s="177" t="s">
        <v>550</v>
      </c>
      <c r="F825" s="178">
        <v>6</v>
      </c>
      <c r="G825" s="180"/>
      <c r="H825" s="180"/>
    </row>
    <row r="826" spans="1:8" ht="20.399999999999999" x14ac:dyDescent="0.3">
      <c r="A826" s="177" t="s">
        <v>267</v>
      </c>
      <c r="B826" s="177" t="s">
        <v>656</v>
      </c>
      <c r="C826" s="178">
        <v>44</v>
      </c>
      <c r="D826" s="179">
        <v>46448</v>
      </c>
      <c r="E826" s="177" t="s">
        <v>550</v>
      </c>
      <c r="F826" s="178">
        <v>8</v>
      </c>
      <c r="G826" s="180"/>
      <c r="H826" s="180"/>
    </row>
    <row r="827" spans="1:8" ht="20.399999999999999" x14ac:dyDescent="0.3">
      <c r="A827" s="177" t="s">
        <v>342</v>
      </c>
      <c r="B827" s="177" t="s">
        <v>656</v>
      </c>
      <c r="C827" s="178">
        <v>148</v>
      </c>
      <c r="D827" s="179">
        <v>46448</v>
      </c>
      <c r="E827" s="177" t="s">
        <v>550</v>
      </c>
      <c r="F827" s="178">
        <v>1</v>
      </c>
      <c r="G827" s="180"/>
      <c r="H827" s="180"/>
    </row>
    <row r="828" spans="1:8" ht="20.399999999999999" x14ac:dyDescent="0.3">
      <c r="A828" s="177" t="s">
        <v>185</v>
      </c>
      <c r="B828" s="177" t="s">
        <v>701</v>
      </c>
      <c r="C828" s="178">
        <v>8</v>
      </c>
      <c r="D828" s="179">
        <v>46448</v>
      </c>
      <c r="E828" s="177" t="s">
        <v>550</v>
      </c>
      <c r="F828" s="178">
        <v>48</v>
      </c>
      <c r="G828" s="180"/>
      <c r="H828" s="180"/>
    </row>
    <row r="829" spans="1:8" ht="20.399999999999999" x14ac:dyDescent="0.3">
      <c r="A829" s="177" t="s">
        <v>272</v>
      </c>
      <c r="B829" s="177" t="s">
        <v>701</v>
      </c>
      <c r="C829" s="178">
        <v>4</v>
      </c>
      <c r="D829" s="179">
        <v>46448</v>
      </c>
      <c r="E829" s="177" t="s">
        <v>550</v>
      </c>
      <c r="F829" s="178">
        <v>48</v>
      </c>
      <c r="G829" s="180"/>
      <c r="H829" s="180"/>
    </row>
    <row r="830" spans="1:8" ht="20.399999999999999" x14ac:dyDescent="0.3">
      <c r="A830" s="177" t="s">
        <v>195</v>
      </c>
      <c r="B830" s="177" t="s">
        <v>658</v>
      </c>
      <c r="C830" s="178">
        <v>262</v>
      </c>
      <c r="D830" s="179">
        <v>46448</v>
      </c>
      <c r="E830" s="177" t="s">
        <v>550</v>
      </c>
      <c r="F830" s="178">
        <v>4</v>
      </c>
      <c r="G830" s="180"/>
      <c r="H830" s="180"/>
    </row>
    <row r="831" spans="1:8" x14ac:dyDescent="0.3">
      <c r="A831" s="177" t="s">
        <v>322</v>
      </c>
      <c r="B831" s="177" t="s">
        <v>658</v>
      </c>
      <c r="C831" s="178">
        <v>352</v>
      </c>
      <c r="D831" s="179">
        <v>46448</v>
      </c>
      <c r="E831" s="177" t="s">
        <v>550</v>
      </c>
      <c r="F831" s="178">
        <v>108</v>
      </c>
      <c r="G831" s="180"/>
      <c r="H831" s="178">
        <v>323</v>
      </c>
    </row>
    <row r="832" spans="1:8" ht="20.399999999999999" x14ac:dyDescent="0.3">
      <c r="A832" s="177" t="s">
        <v>125</v>
      </c>
      <c r="B832" s="177" t="s">
        <v>669</v>
      </c>
      <c r="C832" s="178">
        <v>18</v>
      </c>
      <c r="D832" s="179">
        <v>46448</v>
      </c>
      <c r="E832" s="177" t="s">
        <v>550</v>
      </c>
      <c r="F832" s="178">
        <v>4</v>
      </c>
      <c r="G832" s="180"/>
      <c r="H832" s="180"/>
    </row>
    <row r="833" spans="1:8" ht="20.399999999999999" x14ac:dyDescent="0.3">
      <c r="A833" s="177" t="s">
        <v>289</v>
      </c>
      <c r="B833" s="177" t="s">
        <v>658</v>
      </c>
      <c r="C833" s="178">
        <v>184</v>
      </c>
      <c r="D833" s="179">
        <v>46448</v>
      </c>
      <c r="E833" s="177" t="s">
        <v>550</v>
      </c>
      <c r="F833" s="178">
        <v>8</v>
      </c>
      <c r="G833" s="180"/>
      <c r="H833" s="180"/>
    </row>
    <row r="834" spans="1:8" ht="20.399999999999999" x14ac:dyDescent="0.3">
      <c r="A834" s="177" t="s">
        <v>279</v>
      </c>
      <c r="B834" s="177" t="s">
        <v>658</v>
      </c>
      <c r="C834" s="178">
        <v>142</v>
      </c>
      <c r="D834" s="179">
        <v>46448</v>
      </c>
      <c r="E834" s="177" t="s">
        <v>550</v>
      </c>
      <c r="F834" s="178">
        <v>4</v>
      </c>
      <c r="G834" s="180"/>
      <c r="H834" s="180"/>
    </row>
    <row r="835" spans="1:8" ht="20.399999999999999" x14ac:dyDescent="0.3">
      <c r="A835" s="177" t="s">
        <v>297</v>
      </c>
      <c r="B835" s="177" t="s">
        <v>658</v>
      </c>
      <c r="C835" s="178">
        <v>128</v>
      </c>
      <c r="D835" s="179">
        <v>46448</v>
      </c>
      <c r="E835" s="177" t="s">
        <v>550</v>
      </c>
      <c r="F835" s="178">
        <v>4</v>
      </c>
      <c r="G835" s="180"/>
      <c r="H835" s="180"/>
    </row>
    <row r="836" spans="1:8" ht="20.399999999999999" x14ac:dyDescent="0.3">
      <c r="A836" s="177" t="s">
        <v>291</v>
      </c>
      <c r="B836" s="177" t="s">
        <v>658</v>
      </c>
      <c r="C836" s="178">
        <v>110</v>
      </c>
      <c r="D836" s="179">
        <v>46448</v>
      </c>
      <c r="E836" s="177" t="s">
        <v>550</v>
      </c>
      <c r="F836" s="178">
        <v>4</v>
      </c>
      <c r="G836" s="180"/>
      <c r="H836" s="180"/>
    </row>
    <row r="837" spans="1:8" ht="20.399999999999999" x14ac:dyDescent="0.3">
      <c r="A837" s="177" t="s">
        <v>208</v>
      </c>
      <c r="B837" s="177" t="s">
        <v>658</v>
      </c>
      <c r="C837" s="178">
        <v>92</v>
      </c>
      <c r="D837" s="179">
        <v>46448</v>
      </c>
      <c r="E837" s="177" t="s">
        <v>550</v>
      </c>
      <c r="F837" s="178">
        <v>4</v>
      </c>
      <c r="G837" s="180"/>
      <c r="H837" s="180"/>
    </row>
    <row r="838" spans="1:8" ht="20.399999999999999" x14ac:dyDescent="0.3">
      <c r="A838" s="177" t="s">
        <v>326</v>
      </c>
      <c r="B838" s="177" t="s">
        <v>740</v>
      </c>
      <c r="C838" s="178">
        <v>2</v>
      </c>
      <c r="D838" s="179">
        <v>46448</v>
      </c>
      <c r="E838" s="177" t="s">
        <v>550</v>
      </c>
      <c r="F838" s="178">
        <v>7</v>
      </c>
      <c r="G838" s="180"/>
      <c r="H838" s="178">
        <v>8</v>
      </c>
    </row>
    <row r="839" spans="1:8" ht="20.399999999999999" x14ac:dyDescent="0.3">
      <c r="A839" s="177" t="s">
        <v>276</v>
      </c>
      <c r="B839" s="177" t="s">
        <v>740</v>
      </c>
      <c r="C839" s="178">
        <v>24</v>
      </c>
      <c r="D839" s="179">
        <v>46448</v>
      </c>
      <c r="E839" s="177" t="s">
        <v>550</v>
      </c>
      <c r="F839" s="178">
        <v>4</v>
      </c>
      <c r="G839" s="180"/>
      <c r="H839" s="178">
        <v>0</v>
      </c>
    </row>
    <row r="840" spans="1:8" ht="20.399999999999999" x14ac:dyDescent="0.3">
      <c r="A840" s="177" t="s">
        <v>128</v>
      </c>
      <c r="B840" s="177" t="s">
        <v>582</v>
      </c>
      <c r="C840" s="178">
        <v>268</v>
      </c>
      <c r="D840" s="179">
        <v>46448</v>
      </c>
      <c r="E840" s="177" t="s">
        <v>550</v>
      </c>
      <c r="F840" s="178">
        <v>8</v>
      </c>
      <c r="G840" s="180"/>
      <c r="H840" s="180"/>
    </row>
    <row r="841" spans="1:8" ht="20.399999999999999" x14ac:dyDescent="0.3">
      <c r="A841" s="177" t="s">
        <v>302</v>
      </c>
      <c r="B841" s="177" t="s">
        <v>582</v>
      </c>
      <c r="C841" s="178">
        <v>300</v>
      </c>
      <c r="D841" s="179">
        <v>46449</v>
      </c>
      <c r="E841" s="177" t="s">
        <v>550</v>
      </c>
      <c r="F841" s="178">
        <v>4</v>
      </c>
      <c r="G841" s="180"/>
      <c r="H841" s="180"/>
    </row>
    <row r="842" spans="1:8" ht="20.399999999999999" x14ac:dyDescent="0.3">
      <c r="A842" s="177" t="s">
        <v>107</v>
      </c>
      <c r="B842" s="177" t="s">
        <v>686</v>
      </c>
      <c r="C842" s="178">
        <v>148</v>
      </c>
      <c r="D842" s="179">
        <v>46449</v>
      </c>
      <c r="E842" s="177" t="s">
        <v>550</v>
      </c>
      <c r="F842" s="178">
        <v>4</v>
      </c>
      <c r="G842" s="178">
        <v>50</v>
      </c>
      <c r="H842" s="180"/>
    </row>
    <row r="843" spans="1:8" x14ac:dyDescent="0.3">
      <c r="A843" s="177" t="s">
        <v>799</v>
      </c>
      <c r="B843" s="177" t="s">
        <v>552</v>
      </c>
      <c r="C843" s="178">
        <v>320</v>
      </c>
      <c r="D843" s="179">
        <v>46449</v>
      </c>
      <c r="E843" s="177" t="s">
        <v>550</v>
      </c>
      <c r="F843" s="178">
        <v>1</v>
      </c>
      <c r="G843" s="180"/>
      <c r="H843" s="180"/>
    </row>
    <row r="844" spans="1:8" ht="20.399999999999999" x14ac:dyDescent="0.3">
      <c r="A844" s="177" t="s">
        <v>800</v>
      </c>
      <c r="B844" s="177" t="s">
        <v>552</v>
      </c>
      <c r="C844" s="178">
        <v>298</v>
      </c>
      <c r="D844" s="179">
        <v>46449</v>
      </c>
      <c r="E844" s="177" t="s">
        <v>550</v>
      </c>
      <c r="F844" s="178">
        <v>1</v>
      </c>
      <c r="G844" s="180"/>
      <c r="H844" s="180"/>
    </row>
    <row r="845" spans="1:8" ht="20.399999999999999" x14ac:dyDescent="0.3">
      <c r="A845" s="177" t="s">
        <v>663</v>
      </c>
      <c r="B845" s="177" t="s">
        <v>594</v>
      </c>
      <c r="C845" s="178">
        <v>80</v>
      </c>
      <c r="D845" s="179">
        <v>46449</v>
      </c>
      <c r="E845" s="177" t="s">
        <v>550</v>
      </c>
      <c r="F845" s="178">
        <v>8</v>
      </c>
      <c r="G845" s="180"/>
      <c r="H845" s="180"/>
    </row>
    <row r="846" spans="1:8" ht="20.399999999999999" x14ac:dyDescent="0.3">
      <c r="A846" s="177" t="s">
        <v>224</v>
      </c>
      <c r="B846" s="177" t="s">
        <v>669</v>
      </c>
      <c r="C846" s="178">
        <v>242</v>
      </c>
      <c r="D846" s="179">
        <v>46454</v>
      </c>
      <c r="E846" s="177" t="s">
        <v>550</v>
      </c>
      <c r="F846" s="178">
        <v>4</v>
      </c>
      <c r="G846" s="180"/>
      <c r="H846" s="180"/>
    </row>
    <row r="847" spans="1:8" ht="20.399999999999999" x14ac:dyDescent="0.3">
      <c r="A847" s="177" t="s">
        <v>223</v>
      </c>
      <c r="B847" s="177" t="s">
        <v>669</v>
      </c>
      <c r="C847" s="178">
        <v>226</v>
      </c>
      <c r="D847" s="179">
        <v>46454</v>
      </c>
      <c r="E847" s="177" t="s">
        <v>550</v>
      </c>
      <c r="F847" s="178">
        <v>4</v>
      </c>
      <c r="G847" s="180"/>
      <c r="H847" s="180"/>
    </row>
    <row r="848" spans="1:8" ht="20.399999999999999" x14ac:dyDescent="0.3">
      <c r="A848" s="177" t="s">
        <v>71</v>
      </c>
      <c r="B848" s="177" t="s">
        <v>686</v>
      </c>
      <c r="C848" s="178">
        <v>132</v>
      </c>
      <c r="D848" s="179">
        <v>46454</v>
      </c>
      <c r="E848" s="177" t="s">
        <v>550</v>
      </c>
      <c r="F848" s="178">
        <v>12</v>
      </c>
      <c r="G848" s="180"/>
      <c r="H848" s="180"/>
    </row>
    <row r="849" spans="1:8" ht="20.399999999999999" x14ac:dyDescent="0.3">
      <c r="A849" s="177" t="s">
        <v>209</v>
      </c>
      <c r="B849" s="177" t="s">
        <v>686</v>
      </c>
      <c r="C849" s="178">
        <v>144</v>
      </c>
      <c r="D849" s="179">
        <v>46454</v>
      </c>
      <c r="E849" s="177" t="s">
        <v>550</v>
      </c>
      <c r="F849" s="178">
        <v>12</v>
      </c>
      <c r="G849" s="180"/>
      <c r="H849" s="180"/>
    </row>
    <row r="850" spans="1:8" ht="20.399999999999999" x14ac:dyDescent="0.3">
      <c r="A850" s="177" t="s">
        <v>101</v>
      </c>
      <c r="B850" s="177" t="s">
        <v>686</v>
      </c>
      <c r="C850" s="178">
        <v>140</v>
      </c>
      <c r="D850" s="179">
        <v>46454</v>
      </c>
      <c r="E850" s="177" t="s">
        <v>550</v>
      </c>
      <c r="F850" s="178">
        <v>12</v>
      </c>
      <c r="G850" s="180"/>
      <c r="H850" s="180"/>
    </row>
    <row r="851" spans="1:8" ht="20.399999999999999" x14ac:dyDescent="0.3">
      <c r="A851" s="177" t="s">
        <v>227</v>
      </c>
      <c r="B851" s="177" t="s">
        <v>801</v>
      </c>
      <c r="C851" s="178">
        <v>8</v>
      </c>
      <c r="D851" s="179">
        <v>46454</v>
      </c>
      <c r="E851" s="177" t="s">
        <v>550</v>
      </c>
      <c r="F851" s="178">
        <v>2</v>
      </c>
      <c r="G851" s="180"/>
      <c r="H851" s="180"/>
    </row>
    <row r="852" spans="1:8" ht="20.399999999999999" x14ac:dyDescent="0.3">
      <c r="A852" s="177" t="s">
        <v>802</v>
      </c>
      <c r="B852" s="177" t="s">
        <v>632</v>
      </c>
      <c r="C852" s="178">
        <v>34</v>
      </c>
      <c r="D852" s="179">
        <v>46456</v>
      </c>
      <c r="E852" s="177" t="s">
        <v>550</v>
      </c>
      <c r="F852" s="178">
        <v>4</v>
      </c>
      <c r="G852" s="178">
        <v>28</v>
      </c>
      <c r="H852" s="178">
        <v>0</v>
      </c>
    </row>
    <row r="853" spans="1:8" ht="20.399999999999999" x14ac:dyDescent="0.3">
      <c r="A853" s="177" t="s">
        <v>472</v>
      </c>
      <c r="B853" s="177" t="s">
        <v>582</v>
      </c>
      <c r="C853" s="178">
        <v>110</v>
      </c>
      <c r="D853" s="179">
        <v>46456</v>
      </c>
      <c r="E853" s="177" t="s">
        <v>550</v>
      </c>
      <c r="F853" s="178">
        <v>4</v>
      </c>
      <c r="G853" s="180"/>
      <c r="H853" s="180"/>
    </row>
    <row r="854" spans="1:8" ht="20.399999999999999" x14ac:dyDescent="0.3">
      <c r="A854" s="177" t="s">
        <v>475</v>
      </c>
      <c r="B854" s="177" t="s">
        <v>582</v>
      </c>
      <c r="C854" s="178">
        <v>134</v>
      </c>
      <c r="D854" s="179">
        <v>46456</v>
      </c>
      <c r="E854" s="177" t="s">
        <v>550</v>
      </c>
      <c r="F854" s="178">
        <v>16</v>
      </c>
      <c r="G854" s="180"/>
      <c r="H854" s="180"/>
    </row>
    <row r="855" spans="1:8" ht="20.399999999999999" x14ac:dyDescent="0.3">
      <c r="A855" s="177" t="s">
        <v>477</v>
      </c>
      <c r="B855" s="177" t="s">
        <v>582</v>
      </c>
      <c r="C855" s="178">
        <v>190</v>
      </c>
      <c r="D855" s="179">
        <v>46456</v>
      </c>
      <c r="E855" s="177" t="s">
        <v>550</v>
      </c>
      <c r="F855" s="178">
        <v>4</v>
      </c>
      <c r="G855" s="180"/>
      <c r="H855" s="180"/>
    </row>
    <row r="856" spans="1:8" ht="20.399999999999999" x14ac:dyDescent="0.3">
      <c r="A856" s="177" t="s">
        <v>477</v>
      </c>
      <c r="B856" s="177" t="s">
        <v>582</v>
      </c>
      <c r="C856" s="178">
        <v>192</v>
      </c>
      <c r="D856" s="179">
        <v>46456</v>
      </c>
      <c r="E856" s="177" t="s">
        <v>550</v>
      </c>
      <c r="F856" s="178">
        <v>4</v>
      </c>
      <c r="G856" s="180"/>
      <c r="H856" s="180"/>
    </row>
    <row r="857" spans="1:8" ht="20.399999999999999" x14ac:dyDescent="0.3">
      <c r="A857" s="177" t="s">
        <v>477</v>
      </c>
      <c r="B857" s="177" t="s">
        <v>582</v>
      </c>
      <c r="C857" s="178">
        <v>194</v>
      </c>
      <c r="D857" s="179">
        <v>46456</v>
      </c>
      <c r="E857" s="177" t="s">
        <v>550</v>
      </c>
      <c r="F857" s="178">
        <v>4</v>
      </c>
      <c r="G857" s="180"/>
      <c r="H857" s="180"/>
    </row>
    <row r="858" spans="1:8" ht="20.399999999999999" x14ac:dyDescent="0.3">
      <c r="A858" s="177" t="s">
        <v>776</v>
      </c>
      <c r="B858" s="177" t="s">
        <v>662</v>
      </c>
      <c r="C858" s="178">
        <v>196</v>
      </c>
      <c r="D858" s="179">
        <v>46456</v>
      </c>
      <c r="E858" s="177" t="s">
        <v>550</v>
      </c>
      <c r="F858" s="178">
        <v>48</v>
      </c>
      <c r="G858" s="180"/>
      <c r="H858" s="178">
        <v>2</v>
      </c>
    </row>
    <row r="859" spans="1:8" ht="20.399999999999999" x14ac:dyDescent="0.3">
      <c r="A859" s="177" t="s">
        <v>803</v>
      </c>
      <c r="B859" s="177" t="s">
        <v>662</v>
      </c>
      <c r="C859" s="178">
        <v>248</v>
      </c>
      <c r="D859" s="179">
        <v>46456</v>
      </c>
      <c r="E859" s="177" t="s">
        <v>550</v>
      </c>
      <c r="F859" s="178">
        <v>12</v>
      </c>
      <c r="G859" s="180"/>
      <c r="H859" s="178">
        <v>20</v>
      </c>
    </row>
    <row r="860" spans="1:8" ht="20.399999999999999" x14ac:dyDescent="0.3">
      <c r="A860" s="177" t="s">
        <v>97</v>
      </c>
      <c r="B860" s="177" t="s">
        <v>662</v>
      </c>
      <c r="C860" s="178">
        <v>202</v>
      </c>
      <c r="D860" s="179">
        <v>46456</v>
      </c>
      <c r="E860" s="177" t="s">
        <v>550</v>
      </c>
      <c r="F860" s="178">
        <v>24</v>
      </c>
      <c r="G860" s="180"/>
      <c r="H860" s="180"/>
    </row>
    <row r="861" spans="1:8" ht="20.399999999999999" x14ac:dyDescent="0.3">
      <c r="A861" s="177" t="s">
        <v>356</v>
      </c>
      <c r="B861" s="177" t="s">
        <v>662</v>
      </c>
      <c r="C861" s="178">
        <v>336</v>
      </c>
      <c r="D861" s="179">
        <v>46456</v>
      </c>
      <c r="E861" s="177" t="s">
        <v>550</v>
      </c>
      <c r="F861" s="178">
        <v>12</v>
      </c>
      <c r="G861" s="180"/>
      <c r="H861" s="180"/>
    </row>
    <row r="862" spans="1:8" ht="20.399999999999999" x14ac:dyDescent="0.3">
      <c r="A862" s="177" t="s">
        <v>721</v>
      </c>
      <c r="B862" s="177" t="s">
        <v>686</v>
      </c>
      <c r="C862" s="178">
        <v>110</v>
      </c>
      <c r="D862" s="179">
        <v>46461</v>
      </c>
      <c r="E862" s="177" t="s">
        <v>550</v>
      </c>
      <c r="F862" s="178">
        <v>12</v>
      </c>
      <c r="G862" s="178">
        <v>10</v>
      </c>
      <c r="H862" s="180"/>
    </row>
    <row r="863" spans="1:8" ht="20.399999999999999" x14ac:dyDescent="0.3">
      <c r="A863" s="177" t="s">
        <v>234</v>
      </c>
      <c r="B863" s="177" t="s">
        <v>582</v>
      </c>
      <c r="C863" s="178">
        <v>88</v>
      </c>
      <c r="D863" s="179">
        <v>46462</v>
      </c>
      <c r="E863" s="177" t="s">
        <v>550</v>
      </c>
      <c r="F863" s="178">
        <v>4</v>
      </c>
      <c r="G863" s="180"/>
      <c r="H863" s="180"/>
    </row>
    <row r="864" spans="1:8" ht="20.399999999999999" x14ac:dyDescent="0.3">
      <c r="A864" s="177" t="s">
        <v>296</v>
      </c>
      <c r="B864" s="177" t="s">
        <v>582</v>
      </c>
      <c r="C864" s="178">
        <v>74</v>
      </c>
      <c r="D864" s="179">
        <v>46462</v>
      </c>
      <c r="E864" s="177" t="s">
        <v>550</v>
      </c>
      <c r="F864" s="178">
        <v>8</v>
      </c>
      <c r="G864" s="180"/>
      <c r="H864" s="180"/>
    </row>
    <row r="865" spans="1:8" ht="20.399999999999999" x14ac:dyDescent="0.3">
      <c r="A865" s="177" t="s">
        <v>181</v>
      </c>
      <c r="B865" s="177" t="s">
        <v>582</v>
      </c>
      <c r="C865" s="178">
        <v>10</v>
      </c>
      <c r="D865" s="179">
        <v>46462</v>
      </c>
      <c r="E865" s="177" t="s">
        <v>550</v>
      </c>
      <c r="F865" s="178">
        <v>64</v>
      </c>
      <c r="G865" s="180"/>
      <c r="H865" s="180"/>
    </row>
    <row r="866" spans="1:8" ht="20.399999999999999" x14ac:dyDescent="0.3">
      <c r="A866" s="177" t="s">
        <v>302</v>
      </c>
      <c r="B866" s="177" t="s">
        <v>582</v>
      </c>
      <c r="C866" s="178">
        <v>304</v>
      </c>
      <c r="D866" s="179">
        <v>46462</v>
      </c>
      <c r="E866" s="177" t="s">
        <v>550</v>
      </c>
      <c r="F866" s="178">
        <v>4</v>
      </c>
      <c r="G866" s="180"/>
      <c r="H866" s="180"/>
    </row>
    <row r="867" spans="1:8" ht="20.399999999999999" x14ac:dyDescent="0.3">
      <c r="A867" s="177" t="s">
        <v>118</v>
      </c>
      <c r="B867" s="177" t="s">
        <v>582</v>
      </c>
      <c r="C867" s="178">
        <v>390</v>
      </c>
      <c r="D867" s="179">
        <v>46462</v>
      </c>
      <c r="E867" s="177" t="s">
        <v>550</v>
      </c>
      <c r="F867" s="178">
        <v>6</v>
      </c>
      <c r="G867" s="180"/>
      <c r="H867" s="180"/>
    </row>
    <row r="868" spans="1:8" ht="20.399999999999999" x14ac:dyDescent="0.3">
      <c r="A868" s="177" t="s">
        <v>303</v>
      </c>
      <c r="B868" s="177" t="s">
        <v>582</v>
      </c>
      <c r="C868" s="178">
        <v>406</v>
      </c>
      <c r="D868" s="179">
        <v>46462</v>
      </c>
      <c r="E868" s="177" t="s">
        <v>550</v>
      </c>
      <c r="F868" s="178">
        <v>18</v>
      </c>
      <c r="G868" s="180"/>
      <c r="H868" s="178">
        <v>52</v>
      </c>
    </row>
    <row r="869" spans="1:8" ht="20.399999999999999" x14ac:dyDescent="0.3">
      <c r="A869" s="177" t="s">
        <v>117</v>
      </c>
      <c r="B869" s="177" t="s">
        <v>582</v>
      </c>
      <c r="C869" s="178">
        <v>368</v>
      </c>
      <c r="D869" s="179">
        <v>46462</v>
      </c>
      <c r="E869" s="177" t="s">
        <v>550</v>
      </c>
      <c r="F869" s="178">
        <v>12</v>
      </c>
      <c r="G869" s="180"/>
      <c r="H869" s="180"/>
    </row>
    <row r="870" spans="1:8" ht="20.399999999999999" x14ac:dyDescent="0.3">
      <c r="A870" s="177" t="s">
        <v>309</v>
      </c>
      <c r="B870" s="177" t="s">
        <v>652</v>
      </c>
      <c r="C870" s="178">
        <v>2</v>
      </c>
      <c r="D870" s="179">
        <v>46462</v>
      </c>
      <c r="E870" s="177" t="s">
        <v>550</v>
      </c>
      <c r="F870" s="178">
        <v>6</v>
      </c>
      <c r="G870" s="180"/>
      <c r="H870" s="180"/>
    </row>
    <row r="871" spans="1:8" ht="20.399999999999999" x14ac:dyDescent="0.3">
      <c r="A871" s="177" t="s">
        <v>310</v>
      </c>
      <c r="B871" s="177" t="s">
        <v>652</v>
      </c>
      <c r="C871" s="178">
        <v>6</v>
      </c>
      <c r="D871" s="179">
        <v>46462</v>
      </c>
      <c r="E871" s="177" t="s">
        <v>550</v>
      </c>
      <c r="F871" s="178">
        <v>6</v>
      </c>
      <c r="G871" s="180"/>
      <c r="H871" s="180"/>
    </row>
    <row r="872" spans="1:8" ht="20.399999999999999" x14ac:dyDescent="0.3">
      <c r="A872" s="177" t="s">
        <v>95</v>
      </c>
      <c r="B872" s="177" t="s">
        <v>662</v>
      </c>
      <c r="C872" s="178">
        <v>344</v>
      </c>
      <c r="D872" s="179">
        <v>46462</v>
      </c>
      <c r="E872" s="177" t="s">
        <v>550</v>
      </c>
      <c r="F872" s="178">
        <v>12</v>
      </c>
      <c r="G872" s="180"/>
      <c r="H872" s="180"/>
    </row>
    <row r="873" spans="1:8" ht="20.399999999999999" x14ac:dyDescent="0.3">
      <c r="A873" s="177" t="s">
        <v>261</v>
      </c>
      <c r="B873" s="177" t="s">
        <v>656</v>
      </c>
      <c r="C873" s="178">
        <v>2</v>
      </c>
      <c r="D873" s="179">
        <v>46462</v>
      </c>
      <c r="E873" s="177" t="s">
        <v>550</v>
      </c>
      <c r="F873" s="178">
        <v>12</v>
      </c>
      <c r="G873" s="178">
        <v>30</v>
      </c>
      <c r="H873" s="180"/>
    </row>
    <row r="874" spans="1:8" ht="20.399999999999999" x14ac:dyDescent="0.3">
      <c r="A874" s="177" t="s">
        <v>341</v>
      </c>
      <c r="B874" s="177" t="s">
        <v>656</v>
      </c>
      <c r="C874" s="178">
        <v>10</v>
      </c>
      <c r="D874" s="179">
        <v>46462</v>
      </c>
      <c r="E874" s="177" t="s">
        <v>550</v>
      </c>
      <c r="F874" s="178">
        <v>6</v>
      </c>
      <c r="G874" s="180"/>
      <c r="H874" s="180"/>
    </row>
    <row r="875" spans="1:8" ht="20.399999999999999" x14ac:dyDescent="0.3">
      <c r="A875" s="177" t="s">
        <v>344</v>
      </c>
      <c r="B875" s="177" t="s">
        <v>656</v>
      </c>
      <c r="C875" s="178">
        <v>12</v>
      </c>
      <c r="D875" s="179">
        <v>46462</v>
      </c>
      <c r="E875" s="177" t="s">
        <v>550</v>
      </c>
      <c r="F875" s="178">
        <v>6</v>
      </c>
      <c r="G875" s="180"/>
      <c r="H875" s="180"/>
    </row>
    <row r="876" spans="1:8" ht="20.399999999999999" x14ac:dyDescent="0.3">
      <c r="A876" s="177" t="s">
        <v>239</v>
      </c>
      <c r="B876" s="177" t="s">
        <v>656</v>
      </c>
      <c r="C876" s="178">
        <v>14</v>
      </c>
      <c r="D876" s="179">
        <v>46462</v>
      </c>
      <c r="E876" s="177" t="s">
        <v>550</v>
      </c>
      <c r="F876" s="178">
        <v>6</v>
      </c>
      <c r="G876" s="180"/>
      <c r="H876" s="180"/>
    </row>
    <row r="877" spans="1:8" ht="20.399999999999999" x14ac:dyDescent="0.3">
      <c r="A877" s="177" t="s">
        <v>201</v>
      </c>
      <c r="B877" s="177" t="s">
        <v>656</v>
      </c>
      <c r="C877" s="178">
        <v>18</v>
      </c>
      <c r="D877" s="179">
        <v>46462</v>
      </c>
      <c r="E877" s="177" t="s">
        <v>550</v>
      </c>
      <c r="F877" s="178">
        <v>6</v>
      </c>
      <c r="G877" s="180"/>
      <c r="H877" s="180"/>
    </row>
    <row r="878" spans="1:8" ht="20.399999999999999" x14ac:dyDescent="0.3">
      <c r="A878" s="177" t="s">
        <v>283</v>
      </c>
      <c r="B878" s="177" t="s">
        <v>656</v>
      </c>
      <c r="C878" s="178">
        <v>22</v>
      </c>
      <c r="D878" s="179">
        <v>46462</v>
      </c>
      <c r="E878" s="177" t="s">
        <v>550</v>
      </c>
      <c r="F878" s="178">
        <v>6</v>
      </c>
      <c r="G878" s="180"/>
      <c r="H878" s="180"/>
    </row>
    <row r="879" spans="1:8" ht="20.399999999999999" x14ac:dyDescent="0.3">
      <c r="A879" s="177" t="s">
        <v>103</v>
      </c>
      <c r="B879" s="177" t="s">
        <v>656</v>
      </c>
      <c r="C879" s="178">
        <v>26</v>
      </c>
      <c r="D879" s="179">
        <v>46462</v>
      </c>
      <c r="E879" s="177" t="s">
        <v>550</v>
      </c>
      <c r="F879" s="178">
        <v>6</v>
      </c>
      <c r="G879" s="180"/>
      <c r="H879" s="180"/>
    </row>
    <row r="880" spans="1:8" ht="20.399999999999999" x14ac:dyDescent="0.3">
      <c r="A880" s="177" t="s">
        <v>270</v>
      </c>
      <c r="B880" s="177" t="s">
        <v>656</v>
      </c>
      <c r="C880" s="178">
        <v>30</v>
      </c>
      <c r="D880" s="179">
        <v>46462</v>
      </c>
      <c r="E880" s="177" t="s">
        <v>550</v>
      </c>
      <c r="F880" s="178">
        <v>12</v>
      </c>
      <c r="G880" s="180"/>
      <c r="H880" s="180"/>
    </row>
    <row r="881" spans="1:8" ht="20.399999999999999" x14ac:dyDescent="0.3">
      <c r="A881" s="177" t="s">
        <v>271</v>
      </c>
      <c r="B881" s="177" t="s">
        <v>656</v>
      </c>
      <c r="C881" s="178">
        <v>34</v>
      </c>
      <c r="D881" s="179">
        <v>46462</v>
      </c>
      <c r="E881" s="177" t="s">
        <v>550</v>
      </c>
      <c r="F881" s="178">
        <v>12</v>
      </c>
      <c r="G881" s="180"/>
      <c r="H881" s="180"/>
    </row>
    <row r="882" spans="1:8" ht="20.399999999999999" x14ac:dyDescent="0.3">
      <c r="A882" s="177" t="s">
        <v>342</v>
      </c>
      <c r="B882" s="177" t="s">
        <v>656</v>
      </c>
      <c r="C882" s="178">
        <v>150</v>
      </c>
      <c r="D882" s="179">
        <v>46462</v>
      </c>
      <c r="E882" s="177" t="s">
        <v>550</v>
      </c>
      <c r="F882" s="178">
        <v>1</v>
      </c>
      <c r="G882" s="180"/>
      <c r="H882" s="180"/>
    </row>
    <row r="883" spans="1:8" ht="20.399999999999999" x14ac:dyDescent="0.3">
      <c r="A883" s="177" t="s">
        <v>347</v>
      </c>
      <c r="B883" s="177" t="s">
        <v>656</v>
      </c>
      <c r="C883" s="178">
        <v>88</v>
      </c>
      <c r="D883" s="179">
        <v>46462</v>
      </c>
      <c r="E883" s="177" t="s">
        <v>550</v>
      </c>
      <c r="F883" s="178">
        <v>8</v>
      </c>
      <c r="G883" s="180"/>
      <c r="H883" s="180"/>
    </row>
    <row r="884" spans="1:8" ht="20.399999999999999" x14ac:dyDescent="0.3">
      <c r="A884" s="177" t="s">
        <v>115</v>
      </c>
      <c r="B884" s="177" t="s">
        <v>634</v>
      </c>
      <c r="C884" s="178">
        <v>58</v>
      </c>
      <c r="D884" s="179">
        <v>46462</v>
      </c>
      <c r="E884" s="177" t="s">
        <v>550</v>
      </c>
      <c r="F884" s="178">
        <v>12</v>
      </c>
      <c r="G884" s="180"/>
      <c r="H884" s="180"/>
    </row>
    <row r="885" spans="1:8" ht="20.399999999999999" x14ac:dyDescent="0.3">
      <c r="A885" s="177" t="s">
        <v>247</v>
      </c>
      <c r="B885" s="177" t="s">
        <v>662</v>
      </c>
      <c r="C885" s="178">
        <v>270</v>
      </c>
      <c r="D885" s="179">
        <v>46462</v>
      </c>
      <c r="E885" s="177" t="s">
        <v>550</v>
      </c>
      <c r="F885" s="178">
        <v>12</v>
      </c>
      <c r="G885" s="178">
        <v>50</v>
      </c>
      <c r="H885" s="180"/>
    </row>
    <row r="886" spans="1:8" ht="20.399999999999999" x14ac:dyDescent="0.3">
      <c r="A886" s="177" t="s">
        <v>107</v>
      </c>
      <c r="B886" s="177" t="s">
        <v>662</v>
      </c>
      <c r="C886" s="178">
        <v>266</v>
      </c>
      <c r="D886" s="179">
        <v>46462</v>
      </c>
      <c r="E886" s="177" t="s">
        <v>550</v>
      </c>
      <c r="F886" s="178">
        <v>12</v>
      </c>
      <c r="G886" s="180"/>
      <c r="H886" s="180"/>
    </row>
    <row r="887" spans="1:8" ht="20.399999999999999" x14ac:dyDescent="0.3">
      <c r="A887" s="177" t="s">
        <v>308</v>
      </c>
      <c r="B887" s="177" t="s">
        <v>662</v>
      </c>
      <c r="C887" s="178">
        <v>278</v>
      </c>
      <c r="D887" s="179">
        <v>46462</v>
      </c>
      <c r="E887" s="177" t="s">
        <v>550</v>
      </c>
      <c r="F887" s="178">
        <v>12</v>
      </c>
      <c r="G887" s="180"/>
      <c r="H887" s="180"/>
    </row>
    <row r="888" spans="1:8" ht="20.399999999999999" x14ac:dyDescent="0.3">
      <c r="A888" s="177" t="s">
        <v>804</v>
      </c>
      <c r="B888" s="177" t="s">
        <v>662</v>
      </c>
      <c r="C888" s="178">
        <v>290</v>
      </c>
      <c r="D888" s="179">
        <v>46462</v>
      </c>
      <c r="E888" s="177" t="s">
        <v>550</v>
      </c>
      <c r="F888" s="178">
        <v>12</v>
      </c>
      <c r="G888" s="180"/>
      <c r="H888" s="178">
        <v>6</v>
      </c>
    </row>
    <row r="889" spans="1:8" ht="20.399999999999999" x14ac:dyDescent="0.3">
      <c r="A889" s="177" t="s">
        <v>152</v>
      </c>
      <c r="B889" s="177" t="s">
        <v>662</v>
      </c>
      <c r="C889" s="178">
        <v>172</v>
      </c>
      <c r="D889" s="179">
        <v>46462</v>
      </c>
      <c r="E889" s="177" t="s">
        <v>550</v>
      </c>
      <c r="F889" s="178">
        <v>12</v>
      </c>
      <c r="G889" s="180"/>
      <c r="H889" s="180"/>
    </row>
    <row r="890" spans="1:8" ht="20.399999999999999" x14ac:dyDescent="0.3">
      <c r="A890" s="177" t="s">
        <v>113</v>
      </c>
      <c r="B890" s="177" t="s">
        <v>662</v>
      </c>
      <c r="C890" s="178">
        <v>166</v>
      </c>
      <c r="D890" s="179">
        <v>46462</v>
      </c>
      <c r="E890" s="177" t="s">
        <v>550</v>
      </c>
      <c r="F890" s="178">
        <v>12</v>
      </c>
      <c r="G890" s="180"/>
      <c r="H890" s="180"/>
    </row>
    <row r="891" spans="1:8" ht="20.399999999999999" x14ac:dyDescent="0.3">
      <c r="A891" s="177" t="s">
        <v>220</v>
      </c>
      <c r="B891" s="177" t="s">
        <v>669</v>
      </c>
      <c r="C891" s="178">
        <v>132</v>
      </c>
      <c r="D891" s="179">
        <v>46462</v>
      </c>
      <c r="E891" s="177" t="s">
        <v>550</v>
      </c>
      <c r="F891" s="178">
        <v>8</v>
      </c>
      <c r="G891" s="180"/>
      <c r="H891" s="180"/>
    </row>
    <row r="892" spans="1:8" ht="20.399999999999999" x14ac:dyDescent="0.3">
      <c r="A892" s="177" t="s">
        <v>243</v>
      </c>
      <c r="B892" s="177" t="s">
        <v>658</v>
      </c>
      <c r="C892" s="178">
        <v>20</v>
      </c>
      <c r="D892" s="179">
        <v>46462</v>
      </c>
      <c r="E892" s="177" t="s">
        <v>550</v>
      </c>
      <c r="F892" s="178">
        <v>24</v>
      </c>
      <c r="G892" s="180"/>
      <c r="H892" s="180"/>
    </row>
    <row r="893" spans="1:8" ht="20.399999999999999" x14ac:dyDescent="0.3">
      <c r="A893" s="177" t="s">
        <v>306</v>
      </c>
      <c r="B893" s="177" t="s">
        <v>658</v>
      </c>
      <c r="C893" s="178">
        <v>208</v>
      </c>
      <c r="D893" s="179">
        <v>46462</v>
      </c>
      <c r="E893" s="177" t="s">
        <v>550</v>
      </c>
      <c r="F893" s="178">
        <v>16</v>
      </c>
      <c r="G893" s="178">
        <v>194</v>
      </c>
      <c r="H893" s="180"/>
    </row>
    <row r="894" spans="1:8" ht="20.399999999999999" x14ac:dyDescent="0.3">
      <c r="A894" s="177" t="s">
        <v>143</v>
      </c>
      <c r="B894" s="177" t="s">
        <v>658</v>
      </c>
      <c r="C894" s="178">
        <v>358</v>
      </c>
      <c r="D894" s="179">
        <v>46462</v>
      </c>
      <c r="E894" s="177" t="s">
        <v>550</v>
      </c>
      <c r="F894" s="178">
        <v>6</v>
      </c>
      <c r="G894" s="180"/>
      <c r="H894" s="180"/>
    </row>
    <row r="895" spans="1:8" ht="20.399999999999999" x14ac:dyDescent="0.3">
      <c r="A895" s="177" t="s">
        <v>115</v>
      </c>
      <c r="B895" s="177" t="s">
        <v>634</v>
      </c>
      <c r="C895" s="178">
        <v>56</v>
      </c>
      <c r="D895" s="179">
        <v>46463</v>
      </c>
      <c r="E895" s="177" t="s">
        <v>550</v>
      </c>
      <c r="F895" s="178">
        <v>12</v>
      </c>
      <c r="G895" s="180"/>
      <c r="H895" s="180"/>
    </row>
    <row r="896" spans="1:8" ht="20.399999999999999" x14ac:dyDescent="0.3">
      <c r="A896" s="177" t="s">
        <v>444</v>
      </c>
      <c r="B896" s="177" t="s">
        <v>795</v>
      </c>
      <c r="C896" s="178">
        <v>6</v>
      </c>
      <c r="D896" s="179">
        <v>46463</v>
      </c>
      <c r="E896" s="177" t="s">
        <v>550</v>
      </c>
      <c r="F896" s="178">
        <v>22</v>
      </c>
      <c r="G896" s="178">
        <v>104</v>
      </c>
      <c r="H896" s="178">
        <v>10</v>
      </c>
    </row>
    <row r="897" spans="1:8" ht="20.399999999999999" x14ac:dyDescent="0.3">
      <c r="A897" s="177" t="s">
        <v>805</v>
      </c>
      <c r="B897" s="177" t="s">
        <v>632</v>
      </c>
      <c r="C897" s="178">
        <v>20</v>
      </c>
      <c r="D897" s="179">
        <v>46463</v>
      </c>
      <c r="E897" s="177" t="s">
        <v>550</v>
      </c>
      <c r="F897" s="178">
        <v>3</v>
      </c>
      <c r="G897" s="180"/>
      <c r="H897" s="178">
        <v>0</v>
      </c>
    </row>
    <row r="898" spans="1:8" ht="20.399999999999999" x14ac:dyDescent="0.3">
      <c r="A898" s="177" t="s">
        <v>569</v>
      </c>
      <c r="B898" s="177" t="s">
        <v>552</v>
      </c>
      <c r="C898" s="178">
        <v>132</v>
      </c>
      <c r="D898" s="179">
        <v>46463</v>
      </c>
      <c r="E898" s="177" t="s">
        <v>550</v>
      </c>
      <c r="F898" s="178">
        <v>24</v>
      </c>
      <c r="G898" s="180"/>
      <c r="H898" s="180"/>
    </row>
    <row r="899" spans="1:8" ht="20.399999999999999" x14ac:dyDescent="0.3">
      <c r="A899" s="177" t="s">
        <v>735</v>
      </c>
      <c r="B899" s="177" t="s">
        <v>552</v>
      </c>
      <c r="C899" s="178">
        <v>374</v>
      </c>
      <c r="D899" s="179">
        <v>46463</v>
      </c>
      <c r="E899" s="177" t="s">
        <v>550</v>
      </c>
      <c r="F899" s="178">
        <v>12</v>
      </c>
      <c r="G899" s="180"/>
      <c r="H899" s="180"/>
    </row>
    <row r="900" spans="1:8" ht="20.399999999999999" x14ac:dyDescent="0.3">
      <c r="A900" s="177" t="s">
        <v>748</v>
      </c>
      <c r="B900" s="177" t="s">
        <v>552</v>
      </c>
      <c r="C900" s="178">
        <v>376</v>
      </c>
      <c r="D900" s="179">
        <v>46463</v>
      </c>
      <c r="E900" s="177" t="s">
        <v>550</v>
      </c>
      <c r="F900" s="178">
        <v>12</v>
      </c>
      <c r="G900" s="180"/>
      <c r="H900" s="180"/>
    </row>
    <row r="901" spans="1:8" ht="20.399999999999999" x14ac:dyDescent="0.3">
      <c r="A901" s="177" t="s">
        <v>806</v>
      </c>
      <c r="B901" s="177" t="s">
        <v>552</v>
      </c>
      <c r="C901" s="178">
        <v>380</v>
      </c>
      <c r="D901" s="179">
        <v>46463</v>
      </c>
      <c r="E901" s="177" t="s">
        <v>550</v>
      </c>
      <c r="F901" s="178">
        <v>12</v>
      </c>
      <c r="G901" s="180"/>
      <c r="H901" s="180"/>
    </row>
    <row r="902" spans="1:8" ht="20.399999999999999" x14ac:dyDescent="0.3">
      <c r="A902" s="177" t="s">
        <v>807</v>
      </c>
      <c r="B902" s="177" t="s">
        <v>552</v>
      </c>
      <c r="C902" s="178">
        <v>384</v>
      </c>
      <c r="D902" s="179">
        <v>46463</v>
      </c>
      <c r="E902" s="177" t="s">
        <v>550</v>
      </c>
      <c r="F902" s="178">
        <v>24</v>
      </c>
      <c r="G902" s="180"/>
      <c r="H902" s="180"/>
    </row>
    <row r="903" spans="1:8" x14ac:dyDescent="0.3">
      <c r="A903" s="177" t="s">
        <v>799</v>
      </c>
      <c r="B903" s="177" t="s">
        <v>552</v>
      </c>
      <c r="C903" s="178">
        <v>386</v>
      </c>
      <c r="D903" s="179">
        <v>46463</v>
      </c>
      <c r="E903" s="177" t="s">
        <v>550</v>
      </c>
      <c r="F903" s="178">
        <v>12</v>
      </c>
      <c r="G903" s="180"/>
      <c r="H903" s="180"/>
    </row>
    <row r="904" spans="1:8" x14ac:dyDescent="0.3">
      <c r="A904" s="177" t="s">
        <v>808</v>
      </c>
      <c r="B904" s="177" t="s">
        <v>552</v>
      </c>
      <c r="C904" s="178">
        <v>388</v>
      </c>
      <c r="D904" s="179">
        <v>46463</v>
      </c>
      <c r="E904" s="177" t="s">
        <v>550</v>
      </c>
      <c r="F904" s="178">
        <v>12</v>
      </c>
      <c r="G904" s="180"/>
      <c r="H904" s="180"/>
    </row>
    <row r="905" spans="1:8" ht="20.399999999999999" x14ac:dyDescent="0.3">
      <c r="A905" s="177" t="s">
        <v>731</v>
      </c>
      <c r="B905" s="177" t="s">
        <v>686</v>
      </c>
      <c r="C905" s="178">
        <v>244</v>
      </c>
      <c r="D905" s="179">
        <v>46464</v>
      </c>
      <c r="E905" s="177" t="s">
        <v>550</v>
      </c>
      <c r="F905" s="178">
        <v>12</v>
      </c>
      <c r="G905" s="180"/>
      <c r="H905" s="180"/>
    </row>
    <row r="906" spans="1:8" ht="20.399999999999999" x14ac:dyDescent="0.3">
      <c r="A906" s="177" t="s">
        <v>809</v>
      </c>
      <c r="B906" s="177" t="s">
        <v>686</v>
      </c>
      <c r="C906" s="178">
        <v>18</v>
      </c>
      <c r="D906" s="179">
        <v>46464</v>
      </c>
      <c r="E906" s="177" t="s">
        <v>550</v>
      </c>
      <c r="F906" s="178">
        <v>9</v>
      </c>
      <c r="G906" s="178">
        <v>22</v>
      </c>
      <c r="H906" s="180"/>
    </row>
    <row r="907" spans="1:8" ht="20.399999999999999" x14ac:dyDescent="0.3">
      <c r="A907" s="177" t="s">
        <v>215</v>
      </c>
      <c r="B907" s="177" t="s">
        <v>701</v>
      </c>
      <c r="C907" s="178">
        <v>42</v>
      </c>
      <c r="D907" s="179">
        <v>46464</v>
      </c>
      <c r="E907" s="177" t="s">
        <v>550</v>
      </c>
      <c r="F907" s="178">
        <v>8</v>
      </c>
      <c r="G907" s="180"/>
      <c r="H907" s="180"/>
    </row>
    <row r="908" spans="1:8" ht="20.399999999999999" x14ac:dyDescent="0.3">
      <c r="A908" s="177" t="s">
        <v>218</v>
      </c>
      <c r="B908" s="177" t="s">
        <v>662</v>
      </c>
      <c r="C908" s="178">
        <v>314</v>
      </c>
      <c r="D908" s="179">
        <v>46464</v>
      </c>
      <c r="E908" s="177" t="s">
        <v>550</v>
      </c>
      <c r="F908" s="178">
        <v>12</v>
      </c>
      <c r="G908" s="180"/>
      <c r="H908" s="180"/>
    </row>
    <row r="909" spans="1:8" ht="20.399999999999999" x14ac:dyDescent="0.3">
      <c r="A909" s="177" t="s">
        <v>217</v>
      </c>
      <c r="B909" s="177" t="s">
        <v>662</v>
      </c>
      <c r="C909" s="178">
        <v>308</v>
      </c>
      <c r="D909" s="179">
        <v>46464</v>
      </c>
      <c r="E909" s="177" t="s">
        <v>550</v>
      </c>
      <c r="F909" s="178">
        <v>12</v>
      </c>
      <c r="G909" s="180"/>
      <c r="H909" s="180"/>
    </row>
    <row r="910" spans="1:8" ht="20.399999999999999" x14ac:dyDescent="0.3">
      <c r="A910" s="177" t="s">
        <v>129</v>
      </c>
      <c r="B910" s="177" t="s">
        <v>662</v>
      </c>
      <c r="C910" s="178">
        <v>304</v>
      </c>
      <c r="D910" s="179">
        <v>46464</v>
      </c>
      <c r="E910" s="177" t="s">
        <v>550</v>
      </c>
      <c r="F910" s="178">
        <v>12</v>
      </c>
      <c r="G910" s="178">
        <v>13</v>
      </c>
      <c r="H910" s="180"/>
    </row>
    <row r="911" spans="1:8" ht="20.399999999999999" x14ac:dyDescent="0.3">
      <c r="A911" s="177" t="s">
        <v>180</v>
      </c>
      <c r="B911" s="177" t="s">
        <v>662</v>
      </c>
      <c r="C911" s="178">
        <v>298</v>
      </c>
      <c r="D911" s="179">
        <v>46464</v>
      </c>
      <c r="E911" s="177" t="s">
        <v>550</v>
      </c>
      <c r="F911" s="178">
        <v>12</v>
      </c>
      <c r="G911" s="180"/>
      <c r="H911" s="180"/>
    </row>
    <row r="912" spans="1:8" ht="20.399999999999999" x14ac:dyDescent="0.3">
      <c r="A912" s="177" t="s">
        <v>219</v>
      </c>
      <c r="B912" s="177" t="s">
        <v>582</v>
      </c>
      <c r="C912" s="178">
        <v>224</v>
      </c>
      <c r="D912" s="179">
        <v>46468</v>
      </c>
      <c r="E912" s="177" t="s">
        <v>550</v>
      </c>
      <c r="F912" s="178">
        <v>4</v>
      </c>
      <c r="G912" s="180"/>
      <c r="H912" s="180"/>
    </row>
    <row r="913" spans="1:8" ht="20.399999999999999" x14ac:dyDescent="0.3">
      <c r="A913" s="177" t="s">
        <v>206</v>
      </c>
      <c r="B913" s="177" t="s">
        <v>662</v>
      </c>
      <c r="C913" s="178">
        <v>292</v>
      </c>
      <c r="D913" s="179">
        <v>46470</v>
      </c>
      <c r="E913" s="177" t="s">
        <v>550</v>
      </c>
      <c r="F913" s="178">
        <v>12</v>
      </c>
      <c r="G913" s="180"/>
      <c r="H913" s="180"/>
    </row>
    <row r="914" spans="1:8" ht="20.399999999999999" x14ac:dyDescent="0.3">
      <c r="A914" s="177" t="s">
        <v>138</v>
      </c>
      <c r="B914" s="177" t="s">
        <v>662</v>
      </c>
      <c r="C914" s="178">
        <v>250</v>
      </c>
      <c r="D914" s="179">
        <v>46470</v>
      </c>
      <c r="E914" s="177" t="s">
        <v>550</v>
      </c>
      <c r="F914" s="178">
        <v>12</v>
      </c>
      <c r="G914" s="180"/>
      <c r="H914" s="180"/>
    </row>
    <row r="915" spans="1:8" ht="20.399999999999999" x14ac:dyDescent="0.3">
      <c r="A915" s="177" t="s">
        <v>84</v>
      </c>
      <c r="B915" s="177" t="s">
        <v>662</v>
      </c>
      <c r="C915" s="178">
        <v>254</v>
      </c>
      <c r="D915" s="179">
        <v>46470</v>
      </c>
      <c r="E915" s="177" t="s">
        <v>550</v>
      </c>
      <c r="F915" s="178">
        <v>12</v>
      </c>
      <c r="G915" s="180"/>
      <c r="H915" s="180"/>
    </row>
    <row r="916" spans="1:8" ht="20.399999999999999" x14ac:dyDescent="0.3">
      <c r="A916" s="177" t="s">
        <v>611</v>
      </c>
      <c r="B916" s="177" t="s">
        <v>669</v>
      </c>
      <c r="C916" s="178">
        <v>168</v>
      </c>
      <c r="D916" s="179">
        <v>46470</v>
      </c>
      <c r="E916" s="177" t="s">
        <v>550</v>
      </c>
      <c r="F916" s="178">
        <v>12</v>
      </c>
      <c r="G916" s="180"/>
      <c r="H916" s="180"/>
    </row>
    <row r="917" spans="1:8" ht="20.399999999999999" x14ac:dyDescent="0.3">
      <c r="A917" s="177" t="s">
        <v>244</v>
      </c>
      <c r="B917" s="177" t="s">
        <v>669</v>
      </c>
      <c r="C917" s="178">
        <v>146</v>
      </c>
      <c r="D917" s="179">
        <v>46470</v>
      </c>
      <c r="E917" s="177" t="s">
        <v>550</v>
      </c>
      <c r="F917" s="178">
        <v>4</v>
      </c>
      <c r="G917" s="180"/>
      <c r="H917" s="180"/>
    </row>
    <row r="918" spans="1:8" ht="20.399999999999999" x14ac:dyDescent="0.3">
      <c r="A918" s="177" t="s">
        <v>222</v>
      </c>
      <c r="B918" s="177" t="s">
        <v>669</v>
      </c>
      <c r="C918" s="178">
        <v>178</v>
      </c>
      <c r="D918" s="179">
        <v>46470</v>
      </c>
      <c r="E918" s="177" t="s">
        <v>550</v>
      </c>
      <c r="F918" s="178">
        <v>12</v>
      </c>
      <c r="G918" s="180"/>
      <c r="H918" s="180"/>
    </row>
    <row r="919" spans="1:8" ht="20.399999999999999" x14ac:dyDescent="0.3">
      <c r="A919" s="177" t="s">
        <v>684</v>
      </c>
      <c r="B919" s="177" t="s">
        <v>662</v>
      </c>
      <c r="C919" s="178">
        <v>322</v>
      </c>
      <c r="D919" s="179">
        <v>46470</v>
      </c>
      <c r="E919" s="177" t="s">
        <v>550</v>
      </c>
      <c r="F919" s="178">
        <v>12</v>
      </c>
      <c r="G919" s="180"/>
      <c r="H919" s="180"/>
    </row>
    <row r="920" spans="1:8" ht="20.399999999999999" x14ac:dyDescent="0.3">
      <c r="A920" s="177" t="s">
        <v>144</v>
      </c>
      <c r="B920" s="177" t="s">
        <v>662</v>
      </c>
      <c r="C920" s="178">
        <v>332</v>
      </c>
      <c r="D920" s="179">
        <v>46470</v>
      </c>
      <c r="E920" s="177" t="s">
        <v>550</v>
      </c>
      <c r="F920" s="178">
        <v>12</v>
      </c>
      <c r="G920" s="180"/>
      <c r="H920" s="180"/>
    </row>
    <row r="921" spans="1:8" ht="20.399999999999999" x14ac:dyDescent="0.3">
      <c r="A921" s="177" t="s">
        <v>24</v>
      </c>
      <c r="B921" s="177" t="s">
        <v>682</v>
      </c>
      <c r="C921" s="178">
        <v>24</v>
      </c>
      <c r="D921" s="179">
        <v>46470</v>
      </c>
      <c r="E921" s="177" t="s">
        <v>550</v>
      </c>
      <c r="F921" s="178">
        <v>12</v>
      </c>
      <c r="G921" s="180"/>
      <c r="H921" s="180"/>
    </row>
    <row r="922" spans="1:8" ht="20.399999999999999" x14ac:dyDescent="0.3">
      <c r="A922" s="177" t="s">
        <v>476</v>
      </c>
      <c r="B922" s="177" t="s">
        <v>582</v>
      </c>
      <c r="C922" s="178">
        <v>124</v>
      </c>
      <c r="D922" s="179">
        <v>46471</v>
      </c>
      <c r="E922" s="177" t="s">
        <v>550</v>
      </c>
      <c r="F922" s="178">
        <v>4</v>
      </c>
      <c r="G922" s="180"/>
      <c r="H922" s="180"/>
    </row>
    <row r="923" spans="1:8" ht="20.399999999999999" x14ac:dyDescent="0.3">
      <c r="A923" s="177" t="s">
        <v>810</v>
      </c>
      <c r="B923" s="177" t="s">
        <v>552</v>
      </c>
      <c r="C923" s="178">
        <v>288</v>
      </c>
      <c r="D923" s="179">
        <v>46471</v>
      </c>
      <c r="E923" s="177" t="s">
        <v>550</v>
      </c>
      <c r="F923" s="178">
        <v>2</v>
      </c>
      <c r="G923" s="180"/>
      <c r="H923" s="180"/>
    </row>
    <row r="924" spans="1:8" ht="20.399999999999999" x14ac:dyDescent="0.3">
      <c r="A924" s="177" t="s">
        <v>811</v>
      </c>
      <c r="B924" s="177" t="s">
        <v>552</v>
      </c>
      <c r="C924" s="178">
        <v>60</v>
      </c>
      <c r="D924" s="179">
        <v>46471</v>
      </c>
      <c r="E924" s="177" t="s">
        <v>550</v>
      </c>
      <c r="F924" s="178">
        <v>4</v>
      </c>
      <c r="G924" s="180"/>
      <c r="H924" s="180"/>
    </row>
    <row r="925" spans="1:8" ht="20.399999999999999" x14ac:dyDescent="0.3">
      <c r="A925" s="177" t="s">
        <v>812</v>
      </c>
      <c r="B925" s="177" t="s">
        <v>552</v>
      </c>
      <c r="C925" s="178">
        <v>12</v>
      </c>
      <c r="D925" s="179">
        <v>46471</v>
      </c>
      <c r="E925" s="177" t="s">
        <v>550</v>
      </c>
      <c r="F925" s="178">
        <v>4</v>
      </c>
      <c r="G925" s="180"/>
      <c r="H925" s="180"/>
    </row>
    <row r="926" spans="1:8" ht="20.399999999999999" x14ac:dyDescent="0.3">
      <c r="A926" s="177" t="s">
        <v>813</v>
      </c>
      <c r="B926" s="177" t="s">
        <v>552</v>
      </c>
      <c r="C926" s="178">
        <v>16</v>
      </c>
      <c r="D926" s="179">
        <v>46471</v>
      </c>
      <c r="E926" s="177" t="s">
        <v>550</v>
      </c>
      <c r="F926" s="178">
        <v>4</v>
      </c>
      <c r="G926" s="180"/>
      <c r="H926" s="180"/>
    </row>
    <row r="927" spans="1:8" ht="20.399999999999999" x14ac:dyDescent="0.3">
      <c r="A927" s="177" t="s">
        <v>24</v>
      </c>
      <c r="B927" s="177" t="s">
        <v>655</v>
      </c>
      <c r="C927" s="178">
        <v>2</v>
      </c>
      <c r="D927" s="179">
        <v>46471</v>
      </c>
      <c r="E927" s="177" t="s">
        <v>550</v>
      </c>
      <c r="F927" s="178">
        <v>3</v>
      </c>
      <c r="G927" s="180"/>
      <c r="H927" s="180"/>
    </row>
    <row r="928" spans="1:8" ht="20.399999999999999" x14ac:dyDescent="0.3">
      <c r="A928" s="177" t="s">
        <v>814</v>
      </c>
      <c r="B928" s="177" t="s">
        <v>552</v>
      </c>
      <c r="C928" s="178">
        <v>300</v>
      </c>
      <c r="D928" s="179">
        <v>46471</v>
      </c>
      <c r="E928" s="177" t="s">
        <v>550</v>
      </c>
      <c r="F928" s="178">
        <v>4</v>
      </c>
      <c r="G928" s="180"/>
      <c r="H928" s="180"/>
    </row>
    <row r="929" spans="1:8" ht="20.399999999999999" x14ac:dyDescent="0.3">
      <c r="A929" s="177" t="s">
        <v>815</v>
      </c>
      <c r="B929" s="177" t="s">
        <v>552</v>
      </c>
      <c r="C929" s="178">
        <v>346</v>
      </c>
      <c r="D929" s="179">
        <v>46471</v>
      </c>
      <c r="E929" s="177" t="s">
        <v>550</v>
      </c>
      <c r="F929" s="178">
        <v>1</v>
      </c>
      <c r="G929" s="180"/>
      <c r="H929" s="178">
        <v>2</v>
      </c>
    </row>
    <row r="930" spans="1:8" ht="20.399999999999999" x14ac:dyDescent="0.3">
      <c r="A930" s="177" t="s">
        <v>816</v>
      </c>
      <c r="B930" s="177" t="s">
        <v>552</v>
      </c>
      <c r="C930" s="178">
        <v>348</v>
      </c>
      <c r="D930" s="179">
        <v>46471</v>
      </c>
      <c r="E930" s="177" t="s">
        <v>550</v>
      </c>
      <c r="F930" s="178">
        <v>1</v>
      </c>
      <c r="G930" s="180"/>
      <c r="H930" s="180"/>
    </row>
    <row r="931" spans="1:8" ht="20.399999999999999" x14ac:dyDescent="0.3">
      <c r="A931" s="177" t="s">
        <v>763</v>
      </c>
      <c r="B931" s="177" t="s">
        <v>764</v>
      </c>
      <c r="C931" s="178">
        <v>68</v>
      </c>
      <c r="D931" s="179">
        <v>46475</v>
      </c>
      <c r="E931" s="177" t="s">
        <v>550</v>
      </c>
      <c r="F931" s="178">
        <v>1</v>
      </c>
      <c r="G931" s="180"/>
      <c r="H931" s="178">
        <v>1</v>
      </c>
    </row>
    <row r="932" spans="1:8" ht="20.399999999999999" x14ac:dyDescent="0.3">
      <c r="A932" s="177" t="s">
        <v>228</v>
      </c>
      <c r="B932" s="177" t="s">
        <v>658</v>
      </c>
      <c r="C932" s="178">
        <v>164</v>
      </c>
      <c r="D932" s="179">
        <v>46477</v>
      </c>
      <c r="E932" s="177" t="s">
        <v>550</v>
      </c>
      <c r="F932" s="178">
        <v>12</v>
      </c>
      <c r="G932" s="180"/>
      <c r="H932" s="180"/>
    </row>
    <row r="933" spans="1:8" ht="20.399999999999999" x14ac:dyDescent="0.3">
      <c r="A933" s="177" t="s">
        <v>213</v>
      </c>
      <c r="B933" s="177" t="s">
        <v>658</v>
      </c>
      <c r="C933" s="178">
        <v>232</v>
      </c>
      <c r="D933" s="179">
        <v>46477</v>
      </c>
      <c r="E933" s="177" t="s">
        <v>550</v>
      </c>
      <c r="F933" s="178">
        <v>12</v>
      </c>
      <c r="G933" s="178">
        <v>54</v>
      </c>
      <c r="H933" s="180"/>
    </row>
    <row r="934" spans="1:8" ht="20.399999999999999" x14ac:dyDescent="0.3">
      <c r="A934" s="177" t="s">
        <v>32</v>
      </c>
      <c r="B934" s="177" t="s">
        <v>658</v>
      </c>
      <c r="C934" s="178">
        <v>254</v>
      </c>
      <c r="D934" s="179">
        <v>46477</v>
      </c>
      <c r="E934" s="177" t="s">
        <v>550</v>
      </c>
      <c r="F934" s="178">
        <v>12</v>
      </c>
      <c r="G934" s="180"/>
      <c r="H934" s="178">
        <v>9</v>
      </c>
    </row>
    <row r="935" spans="1:8" ht="20.399999999999999" x14ac:dyDescent="0.3">
      <c r="A935" s="177" t="s">
        <v>212</v>
      </c>
      <c r="B935" s="177" t="s">
        <v>658</v>
      </c>
      <c r="C935" s="178">
        <v>116</v>
      </c>
      <c r="D935" s="179">
        <v>46477</v>
      </c>
      <c r="E935" s="177" t="s">
        <v>550</v>
      </c>
      <c r="F935" s="178">
        <v>12</v>
      </c>
      <c r="G935" s="180"/>
      <c r="H935" s="180"/>
    </row>
    <row r="936" spans="1:8" ht="20.399999999999999" x14ac:dyDescent="0.3">
      <c r="A936" s="177" t="s">
        <v>194</v>
      </c>
      <c r="B936" s="177" t="s">
        <v>658</v>
      </c>
      <c r="C936" s="178">
        <v>156</v>
      </c>
      <c r="D936" s="179">
        <v>46477</v>
      </c>
      <c r="E936" s="177" t="s">
        <v>550</v>
      </c>
      <c r="F936" s="178">
        <v>12</v>
      </c>
      <c r="G936" s="180"/>
      <c r="H936" s="180"/>
    </row>
    <row r="937" spans="1:8" ht="20.399999999999999" x14ac:dyDescent="0.3">
      <c r="A937" s="177" t="s">
        <v>342</v>
      </c>
      <c r="B937" s="177" t="s">
        <v>656</v>
      </c>
      <c r="C937" s="178">
        <v>152</v>
      </c>
      <c r="D937" s="179">
        <v>46477</v>
      </c>
      <c r="E937" s="177" t="s">
        <v>550</v>
      </c>
      <c r="F937" s="178">
        <v>1</v>
      </c>
      <c r="G937" s="180"/>
      <c r="H937" s="180"/>
    </row>
    <row r="938" spans="1:8" ht="20.399999999999999" x14ac:dyDescent="0.3">
      <c r="A938" s="177" t="s">
        <v>290</v>
      </c>
      <c r="B938" s="177" t="s">
        <v>656</v>
      </c>
      <c r="C938" s="178">
        <v>238</v>
      </c>
      <c r="D938" s="179">
        <v>46477</v>
      </c>
      <c r="E938" s="177" t="s">
        <v>550</v>
      </c>
      <c r="F938" s="178">
        <v>24</v>
      </c>
      <c r="G938" s="180"/>
      <c r="H938" s="180"/>
    </row>
    <row r="939" spans="1:8" ht="20.399999999999999" x14ac:dyDescent="0.3">
      <c r="A939" s="177" t="s">
        <v>590</v>
      </c>
      <c r="B939" s="177" t="s">
        <v>591</v>
      </c>
      <c r="C939" s="178">
        <v>42</v>
      </c>
      <c r="D939" s="179">
        <v>46477</v>
      </c>
      <c r="E939" s="177" t="s">
        <v>550</v>
      </c>
      <c r="F939" s="178">
        <v>9</v>
      </c>
      <c r="G939" s="180"/>
      <c r="H939" s="180"/>
    </row>
    <row r="940" spans="1:8" ht="20.399999999999999" x14ac:dyDescent="0.3">
      <c r="A940" s="177" t="s">
        <v>254</v>
      </c>
      <c r="B940" s="177" t="s">
        <v>690</v>
      </c>
      <c r="C940" s="178">
        <v>20</v>
      </c>
      <c r="D940" s="179">
        <v>46477</v>
      </c>
      <c r="E940" s="177" t="s">
        <v>550</v>
      </c>
      <c r="F940" s="178">
        <v>12</v>
      </c>
      <c r="G940" s="180"/>
      <c r="H940" s="180"/>
    </row>
    <row r="941" spans="1:8" ht="20.399999999999999" x14ac:dyDescent="0.3">
      <c r="A941" s="177" t="s">
        <v>319</v>
      </c>
      <c r="B941" s="177" t="s">
        <v>690</v>
      </c>
      <c r="C941" s="178">
        <v>30</v>
      </c>
      <c r="D941" s="179">
        <v>46477</v>
      </c>
      <c r="E941" s="177" t="s">
        <v>550</v>
      </c>
      <c r="F941" s="178">
        <v>10</v>
      </c>
      <c r="G941" s="180"/>
      <c r="H941" s="180"/>
    </row>
    <row r="942" spans="1:8" ht="20.399999999999999" x14ac:dyDescent="0.3">
      <c r="A942" s="177" t="s">
        <v>128</v>
      </c>
      <c r="B942" s="177" t="s">
        <v>582</v>
      </c>
      <c r="C942" s="178">
        <v>270</v>
      </c>
      <c r="D942" s="179">
        <v>46477</v>
      </c>
      <c r="E942" s="177" t="s">
        <v>550</v>
      </c>
      <c r="F942" s="178">
        <v>8</v>
      </c>
      <c r="G942" s="180"/>
      <c r="H942" s="180"/>
    </row>
    <row r="943" spans="1:8" ht="20.399999999999999" x14ac:dyDescent="0.3">
      <c r="A943" s="177" t="s">
        <v>192</v>
      </c>
      <c r="B943" s="177" t="s">
        <v>582</v>
      </c>
      <c r="C943" s="178">
        <v>254</v>
      </c>
      <c r="D943" s="179">
        <v>46477</v>
      </c>
      <c r="E943" s="177" t="s">
        <v>550</v>
      </c>
      <c r="F943" s="178">
        <v>6</v>
      </c>
      <c r="G943" s="180"/>
      <c r="H943" s="180"/>
    </row>
    <row r="944" spans="1:8" ht="20.399999999999999" x14ac:dyDescent="0.3">
      <c r="A944" s="177" t="s">
        <v>299</v>
      </c>
      <c r="B944" s="177" t="s">
        <v>582</v>
      </c>
      <c r="C944" s="178">
        <v>214</v>
      </c>
      <c r="D944" s="179">
        <v>46477</v>
      </c>
      <c r="E944" s="177" t="s">
        <v>550</v>
      </c>
      <c r="F944" s="178">
        <v>6</v>
      </c>
      <c r="G944" s="180"/>
      <c r="H944" s="180"/>
    </row>
    <row r="945" spans="1:8" ht="20.399999999999999" x14ac:dyDescent="0.3">
      <c r="A945" s="177" t="s">
        <v>298</v>
      </c>
      <c r="B945" s="177" t="s">
        <v>582</v>
      </c>
      <c r="C945" s="178">
        <v>206</v>
      </c>
      <c r="D945" s="179">
        <v>46477</v>
      </c>
      <c r="E945" s="177" t="s">
        <v>550</v>
      </c>
      <c r="F945" s="178">
        <v>6</v>
      </c>
      <c r="G945" s="180"/>
      <c r="H945" s="1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3DFC-EEE5-48E1-9207-80755715F32A}">
  <dimension ref="A1:X2"/>
  <sheetViews>
    <sheetView workbookViewId="0">
      <selection activeCell="Q19" sqref="Q19"/>
    </sheetView>
  </sheetViews>
  <sheetFormatPr defaultRowHeight="14.4" x14ac:dyDescent="0.3"/>
  <sheetData>
    <row r="1" spans="1:24" x14ac:dyDescent="0.3">
      <c r="A1" s="168" t="s">
        <v>490</v>
      </c>
      <c r="B1" s="168" t="s">
        <v>491</v>
      </c>
      <c r="C1" s="168" t="s">
        <v>492</v>
      </c>
      <c r="D1" s="168" t="s">
        <v>493</v>
      </c>
      <c r="E1" s="168" t="s">
        <v>494</v>
      </c>
      <c r="F1" s="168" t="s">
        <v>495</v>
      </c>
      <c r="G1" s="168" t="s">
        <v>496</v>
      </c>
      <c r="H1" s="168" t="s">
        <v>497</v>
      </c>
      <c r="I1" s="168" t="s">
        <v>498</v>
      </c>
      <c r="J1" s="168" t="s">
        <v>499</v>
      </c>
      <c r="K1" s="168" t="s">
        <v>500</v>
      </c>
      <c r="L1" s="168" t="s">
        <v>501</v>
      </c>
      <c r="M1" s="168" t="s">
        <v>502</v>
      </c>
      <c r="N1" s="168" t="s">
        <v>503</v>
      </c>
      <c r="O1" s="168" t="s">
        <v>504</v>
      </c>
      <c r="P1" s="168" t="s">
        <v>505</v>
      </c>
      <c r="Q1" s="168" t="s">
        <v>506</v>
      </c>
      <c r="R1" s="168" t="s">
        <v>507</v>
      </c>
      <c r="S1" s="168" t="s">
        <v>508</v>
      </c>
      <c r="T1" s="168" t="s">
        <v>509</v>
      </c>
      <c r="U1" s="168" t="s">
        <v>510</v>
      </c>
      <c r="V1" s="168" t="s">
        <v>511</v>
      </c>
      <c r="W1" s="168" t="s">
        <v>512</v>
      </c>
      <c r="X1" s="168" t="s">
        <v>513</v>
      </c>
    </row>
    <row r="2" spans="1:24" x14ac:dyDescent="0.3">
      <c r="A2" s="169">
        <v>656</v>
      </c>
      <c r="B2" s="169">
        <v>585</v>
      </c>
      <c r="C2" s="169">
        <v>474</v>
      </c>
      <c r="D2" s="169">
        <v>418</v>
      </c>
      <c r="E2" s="169">
        <v>650</v>
      </c>
      <c r="F2" s="169">
        <v>602</v>
      </c>
      <c r="G2" s="169">
        <v>530</v>
      </c>
      <c r="H2" s="169">
        <v>397</v>
      </c>
      <c r="I2" s="169">
        <v>626</v>
      </c>
      <c r="J2" s="169">
        <v>666</v>
      </c>
      <c r="K2" s="169">
        <v>451</v>
      </c>
      <c r="L2" s="169">
        <v>542</v>
      </c>
      <c r="M2" s="169">
        <v>538</v>
      </c>
      <c r="N2" s="169">
        <v>657</v>
      </c>
      <c r="O2" s="169">
        <v>531</v>
      </c>
      <c r="P2" s="169">
        <v>353</v>
      </c>
      <c r="Q2" s="169">
        <v>409</v>
      </c>
      <c r="R2" s="169">
        <v>495</v>
      </c>
      <c r="S2" s="169">
        <v>429</v>
      </c>
      <c r="T2" s="169">
        <v>396</v>
      </c>
      <c r="U2" s="169">
        <v>360</v>
      </c>
      <c r="V2" s="169">
        <v>366</v>
      </c>
      <c r="W2" s="169">
        <v>362</v>
      </c>
      <c r="X2" s="169">
        <v>443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1</vt:i4>
      </vt:variant>
    </vt:vector>
  </HeadingPairs>
  <TitlesOfParts>
    <vt:vector size="5" baseType="lpstr">
      <vt:lpstr>קוביות</vt:lpstr>
      <vt:lpstr>דוח מימד</vt:lpstr>
      <vt:lpstr>הזמנות פתוחות</vt:lpstr>
      <vt:lpstr>גרף</vt:lpstr>
      <vt:lpstr>'דוח מימד'!WPrint_Area_W</vt:lpstr>
    </vt:vector>
  </TitlesOfParts>
  <Company>IAI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Shemesh Alon AVI</dc:creator>
  <cp:lastModifiedBy>Liora</cp:lastModifiedBy>
  <cp:lastPrinted>2026-08-23T14:13:13Z</cp:lastPrinted>
  <dcterms:created xsi:type="dcterms:W3CDTF">2026-08-11T07:33:14Z</dcterms:created>
  <dcterms:modified xsi:type="dcterms:W3CDTF">2026-08-25T09:04:25Z</dcterms:modified>
</cp:coreProperties>
</file>